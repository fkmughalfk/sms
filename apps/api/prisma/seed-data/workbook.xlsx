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Data Entry" state="visible" r:id="rId4"/>
    <sheet sheetId="13" name="Dashboard" state="visible" r:id="rId5"/>
    <sheet sheetId="6" name="Database" state="visible" r:id="rId6"/>
    <sheet sheetId="15" name="Payments" state="visible" r:id="rId7"/>
    <sheet sheetId="16" name="Sheet1" state="visible" r:id="rId8"/>
    <sheet sheetId="2" name="Products" state="visible" r:id="rId9"/>
    <sheet sheetId="14" name="Lists" state="visible" r:id="rId10"/>
    <sheet sheetId="12" name="How To (VBA)" state="visible" r:id="rId11"/>
  </sheets>
  <definedNames>
    <definedName name="_xlnm._FilterDatabase">Database!$A$1:$M$156</definedName>
    <definedName name="frmASM">'Data Entry'!$D$9</definedName>
    <definedName name="frmCity">'Data Entry'!$D$7</definedName>
    <definedName name="frmCommRate">Products!$G$3</definedName>
    <definedName name="frmDate">'Data Entry'!$D$5</definedName>
    <definedName name="frmDesc">'Data Entry'!$C$13:$C$24</definedName>
    <definedName name="frmInvNo">'Data Entry'!$D$4</definedName>
    <definedName name="frmParty">'Data Entry'!$D$6</definedName>
    <definedName name="frmQty">'Data Entry'!$D$13:$D$24</definedName>
    <definedName name="frmR40">'Data Entry'!$F$13:$F$24</definedName>
    <definedName name="frmSubParty">'Data Entry'!$D$8</definedName>
    <definedName name="lstASM">'OFFSET(Lists'!$C$2,'COUNTA(Lists'!$C$2:$C$500</definedName>
    <definedName name="lstCity">'OFFSET(Lists'!$B$2,'COUNTA(Lists'!$B$2:$B$500</definedName>
    <definedName name="lstParty">'OFFSET(Lists'!$A$2,'COUNTA(Lists'!$A$2:$A$500</definedName>
    <definedName name="lstProduct">'OFFSET(Products'!$B$4,'COUNTA(Products'!$B$4:$B$500</definedName>
    <definedName name="lstSubParty">'OFFSET(Lists'!$D$2,'COUNTA(Lists'!$D$2:$D$500</definedName>
  </definedNames>
  <calcPr calcId="171027"/>
</workbook>
</file>

<file path=xl/sharedStrings.xml><?xml version="1.0" encoding="utf-8"?>
<sst xmlns="http://schemas.openxmlformats.org/spreadsheetml/2006/main" count="1268" uniqueCount="469">
  <si>
    <t>▦</t>
  </si>
  <si>
    <t>WAQAR RICE MILLS</t>
  </si>
  <si>
    <t>SEPTEMBER 2026</t>
  </si>
  <si>
    <t>Shamshad Khan Shaheed Road, Kamoke   ·   Sales Invoice Data Entry</t>
  </si>
  <si>
    <t>INVOICE DETAILS</t>
  </si>
  <si>
    <t>INVOICE SUMMARY</t>
  </si>
  <si>
    <t>Invoice No.</t>
  </si>
  <si>
    <t>Invoice Date</t>
  </si>
  <si>
    <t>Amount</t>
  </si>
  <si>
    <t>Party (Name)</t>
  </si>
  <si>
    <t xml:space="preserve">Pak Rice Traders </t>
  </si>
  <si>
    <t>Commission</t>
  </si>
  <si>
    <t>City</t>
  </si>
  <si>
    <t xml:space="preserve">Dina </t>
  </si>
  <si>
    <t>Total Bags</t>
  </si>
  <si>
    <t>Sub Party</t>
  </si>
  <si>
    <t>ASM / Salesperson</t>
  </si>
  <si>
    <t xml:space="preserve">Farhan Khalid </t>
  </si>
  <si>
    <t>LINE ITEMS</t>
  </si>
  <si>
    <t>Sr</t>
  </si>
  <si>
    <t>Description (Product)</t>
  </si>
  <si>
    <t>Bags</t>
  </si>
  <si>
    <t>Pack Wt (KG)</t>
  </si>
  <si>
    <t>Rate 40Kg</t>
  </si>
  <si>
    <t>Rate / Pack</t>
  </si>
  <si>
    <t>AMOUNT</t>
  </si>
  <si>
    <t>Weight (KG)</t>
  </si>
  <si>
    <t>MASAR SABIT 25KG</t>
  </si>
  <si>
    <t>DAAL MASH CHARI 25KG</t>
  </si>
  <si>
    <t>DAAL MOONG 25KG</t>
  </si>
  <si>
    <t>DALL MASOOR 25KG</t>
  </si>
  <si>
    <t>DAAL CHANNA SUPREME 25KG</t>
  </si>
  <si>
    <t>INVOICE TOTAL</t>
  </si>
  <si>
    <t>Fill the invoice above, then click SAVE / UPDATE. The invoice is written to the Database sheet - the grey columns there calculate themselves.</t>
  </si>
  <si>
    <t>Shamshad Khan Shaheed Road, Kamoke   ·   Sales Management System</t>
  </si>
  <si>
    <t>TOTAL REVENUE (PKR)</t>
  </si>
  <si>
    <t>TOTAL COMMISSION</t>
  </si>
  <si>
    <t>TOTAL WEIGHT (TONS)</t>
  </si>
  <si>
    <t>INVOICES</t>
  </si>
  <si>
    <t>ANNUAL SALES TARGET</t>
  </si>
  <si>
    <t>Annual Sales Target (PKR)</t>
  </si>
  <si>
    <t>←  enter your annual target here</t>
  </si>
  <si>
    <t>Actual Sales to Date</t>
  </si>
  <si>
    <t>Achieved %</t>
  </si>
  <si>
    <t>Remaining to Target</t>
  </si>
  <si>
    <t>Implied Monthly Target</t>
  </si>
  <si>
    <t>SALES BY CATEGORY  —  RICE vs PULSES</t>
  </si>
  <si>
    <t>CATEGORY</t>
  </si>
  <si>
    <t>QTY (PACKS)</t>
  </si>
  <si>
    <t>WEIGHT (KG)</t>
  </si>
  <si>
    <t>AMOUNT (PKR)</t>
  </si>
  <si>
    <t>COMMISSION (PKR)</t>
  </si>
  <si>
    <t>% OF SALES</t>
  </si>
  <si>
    <t>SHARE</t>
  </si>
  <si>
    <t>Rice</t>
  </si>
  <si>
    <t>Pulses</t>
  </si>
  <si>
    <t>Other</t>
  </si>
  <si>
    <t>TOTAL</t>
  </si>
  <si>
    <t>SALES BY ASM / SALESPERSON</t>
  </si>
  <si>
    <t>ASM / SALESPERSON</t>
  </si>
  <si>
    <t>Farhan Khalid</t>
  </si>
  <si>
    <t>SALES BY PRODUCT</t>
  </si>
  <si>
    <t>PRODUCT</t>
  </si>
  <si>
    <t>DAAL CHANNA REGULAR 25KG</t>
  </si>
  <si>
    <t>HAZARA B-2, 25KG</t>
  </si>
  <si>
    <t>KALAA CHANNA JAMBO 25KG</t>
  </si>
  <si>
    <t>LAAL LOBIA 25KG</t>
  </si>
  <si>
    <t>SINDHI CHANA 5MM 25KG</t>
  </si>
  <si>
    <t>WHITE CHANNA 6MM 25KG</t>
  </si>
  <si>
    <t>WHITE CHANNA 8MM 25KG</t>
  </si>
  <si>
    <t>WHITE CHANNA 9MM 25KG</t>
  </si>
  <si>
    <t>ZAFARANI LOBIA PINTO 25KG</t>
  </si>
  <si>
    <t>ZAFARANI SELLA GOLDEN 25KG</t>
  </si>
  <si>
    <t>ZAFARANI SELLA GOLDEN 5KG</t>
  </si>
  <si>
    <t>ZAFARANI STEAM B-1, 25KG</t>
  </si>
  <si>
    <t>ZAFARANI STEAM B-1, 5KG</t>
  </si>
  <si>
    <t>ZAFARANI STEAM B-2, 25KG</t>
  </si>
  <si>
    <t>ZAFARANI STEAM EVERYDAY 25KG</t>
  </si>
  <si>
    <t>ZAFARANI STEAM GOLD 25KG</t>
  </si>
  <si>
    <t>ZAFARANI STEAM PLATINUM 10KG</t>
  </si>
  <si>
    <t>ZAFARANI STEAM PLATINUM 1KG</t>
  </si>
  <si>
    <t>ZAFARANI STEAM PLATINUM 20KG</t>
  </si>
  <si>
    <t>ZAFARANI STEAM PLATINUM 25KG</t>
  </si>
  <si>
    <t>ZAFARANI STEAM PLATINUM 5KG</t>
  </si>
  <si>
    <t>ZAFARANI STEAM SHADMANI 25KG</t>
  </si>
  <si>
    <t>ZAFARANI STEAM SHORT GRAIN 10KG</t>
  </si>
  <si>
    <t>ZAFARANI STEAM SHORT GRAIN 25KG</t>
  </si>
  <si>
    <t>ZAFARANI STEAM SHORT GRAIN 5KG</t>
  </si>
  <si>
    <t>ZAFARANI SUTRANGI 25KG</t>
  </si>
  <si>
    <t>PAYMENTS &amp; RECOVERY</t>
  </si>
  <si>
    <t>TOTAL RECOVERED (PKR)</t>
  </si>
  <si>
    <t>OUTSTANDING (PKR)</t>
  </si>
  <si>
    <t>RECOVERY RATE</t>
  </si>
  <si>
    <t>PAYMENTS LOGGED</t>
  </si>
  <si>
    <t>RECOVERY BY PARTY</t>
  </si>
  <si>
    <t>PARTY (NAME)</t>
  </si>
  <si>
    <t>INVOICED (PKR)</t>
  </si>
  <si>
    <t>RECOVERED (PKR)</t>
  </si>
  <si>
    <t>LAST PAYMENT</t>
  </si>
  <si>
    <t>% RECOVERED</t>
  </si>
  <si>
    <t>Invoice #</t>
  </si>
  <si>
    <t>Qty (Packs)</t>
  </si>
  <si>
    <t>weight in tons</t>
  </si>
  <si>
    <t>Total Sale</t>
  </si>
  <si>
    <t xml:space="preserve">commission </t>
  </si>
  <si>
    <t>Total Packs</t>
  </si>
  <si>
    <t xml:space="preserve">Avg of Ton </t>
  </si>
  <si>
    <t>Avg of Pack</t>
  </si>
  <si>
    <t xml:space="preserve">Allah Walay Traders </t>
  </si>
  <si>
    <t xml:space="preserve">Nakyal Ajk </t>
  </si>
  <si>
    <t xml:space="preserve">Tayyab Traders </t>
  </si>
  <si>
    <t xml:space="preserve">Chakwal </t>
  </si>
  <si>
    <t xml:space="preserve">tayyab traders </t>
  </si>
  <si>
    <t xml:space="preserve">Shalimar Traders </t>
  </si>
  <si>
    <t xml:space="preserve">Gilgit </t>
  </si>
  <si>
    <t xml:space="preserve">Hassan Enterprises </t>
  </si>
  <si>
    <t xml:space="preserve">Fatehjang </t>
  </si>
  <si>
    <t>Hassan Enterprises</t>
  </si>
  <si>
    <t>Fatehjang</t>
  </si>
  <si>
    <t xml:space="preserve">Bhayya Traders </t>
  </si>
  <si>
    <t xml:space="preserve">Gujrat </t>
  </si>
  <si>
    <t xml:space="preserve">Sheikh Traders </t>
  </si>
  <si>
    <t xml:space="preserve">Lalamusa </t>
  </si>
  <si>
    <t>Sheikh Traders</t>
  </si>
  <si>
    <t>Lalamusa</t>
  </si>
  <si>
    <t xml:space="preserve">M Zaman Kotli </t>
  </si>
  <si>
    <t>Dina</t>
  </si>
  <si>
    <t>Arslan Ahmed Dar</t>
  </si>
  <si>
    <t>Shalimar Traders</t>
  </si>
  <si>
    <t>Gilgit</t>
  </si>
  <si>
    <t>Allah Walay Traders</t>
  </si>
  <si>
    <t>Nakyal Ajk</t>
  </si>
  <si>
    <t xml:space="preserve">Hamdard Traders </t>
  </si>
  <si>
    <t xml:space="preserve">Gahkuch </t>
  </si>
  <si>
    <t>Hamdard Traders</t>
  </si>
  <si>
    <t>Gahkuch</t>
  </si>
  <si>
    <t xml:space="preserve">Sheikh Abid Gujjar Khan </t>
  </si>
  <si>
    <t xml:space="preserve">Arslan Ahmed Dar </t>
  </si>
  <si>
    <t>Talha &amp; co Kotla</t>
  </si>
  <si>
    <t>Pak Rice Traders</t>
  </si>
  <si>
    <t>Sheikh Abid Gujjar Khan</t>
  </si>
  <si>
    <t>DAAL CHANNA ECONOMY 25KG</t>
  </si>
  <si>
    <t xml:space="preserve">Shahmeer Traders Kharian </t>
  </si>
  <si>
    <t xml:space="preserve">Iftikhar Traders </t>
  </si>
  <si>
    <t xml:space="preserve">Alam Shah Traders </t>
  </si>
  <si>
    <t xml:space="preserve">Ashfaq Commission shop </t>
  </si>
  <si>
    <t xml:space="preserve">Rawalpindi </t>
  </si>
  <si>
    <t xml:space="preserve">Pakistan Traders </t>
  </si>
  <si>
    <t>Haripur</t>
  </si>
  <si>
    <t xml:space="preserve">Imran Traders </t>
  </si>
  <si>
    <t>Attock</t>
  </si>
  <si>
    <t>Payments Recovery  ·   log each recovery against the party</t>
  </si>
  <si>
    <t>NEW PAYMENT ENTRY</t>
  </si>
  <si>
    <t>PARTY POSITION</t>
  </si>
  <si>
    <t>Date</t>
  </si>
  <si>
    <t>Invoiced</t>
  </si>
  <si>
    <t>Recovered so far</t>
  </si>
  <si>
    <t>Outstanding</t>
  </si>
  <si>
    <t>Slip No.</t>
  </si>
  <si>
    <t>After this payment</t>
  </si>
  <si>
    <t>Bank</t>
  </si>
  <si>
    <t>Remarks</t>
  </si>
  <si>
    <t>Fill the fields above, then click SAVE ENTRY. The row is appended to the payment log below and the summary updates itself.</t>
  </si>
  <si>
    <t>PAYMENT ENTRIES</t>
  </si>
  <si>
    <t>RECOVERY SUMMARY BY PARTY</t>
  </si>
  <si>
    <t>Recovered</t>
  </si>
  <si>
    <t>% Rec.</t>
  </si>
  <si>
    <t>Ashfaq Commission shop</t>
  </si>
  <si>
    <t>Bhayya Traders</t>
  </si>
  <si>
    <t>Imran Traders</t>
  </si>
  <si>
    <t>Pakistan Traders</t>
  </si>
  <si>
    <t>Tayyab Traders</t>
  </si>
  <si>
    <t xml:space="preserve">Date </t>
  </si>
  <si>
    <t xml:space="preserve">Party Name </t>
  </si>
  <si>
    <t xml:space="preserve">Bank </t>
  </si>
  <si>
    <t>Tansaction/slip no</t>
  </si>
  <si>
    <t xml:space="preserve">Amount </t>
  </si>
  <si>
    <t xml:space="preserve">Discription </t>
  </si>
  <si>
    <t xml:space="preserve">Allah walay Nakyal </t>
  </si>
  <si>
    <t xml:space="preserve">Grainco Ubl </t>
  </si>
  <si>
    <t>from meezan bank app</t>
  </si>
  <si>
    <t xml:space="preserve">Pak Rice Traders dina </t>
  </si>
  <si>
    <t>Waqar Rice Abl</t>
  </si>
  <si>
    <t>from abl mobile app</t>
  </si>
  <si>
    <t xml:space="preserve">grainco foods </t>
  </si>
  <si>
    <t>Hazrat Hussain Sawat</t>
  </si>
  <si>
    <t xml:space="preserve">Waqr Rice Mills </t>
  </si>
  <si>
    <t xml:space="preserve">ubl Grainco </t>
  </si>
  <si>
    <t xml:space="preserve">Bin Sadeeq Traders </t>
  </si>
  <si>
    <t xml:space="preserve">cash </t>
  </si>
  <si>
    <t xml:space="preserve">grainco </t>
  </si>
  <si>
    <t xml:space="preserve"> </t>
  </si>
  <si>
    <t>grainco</t>
  </si>
  <si>
    <t xml:space="preserve">grainco ubl </t>
  </si>
  <si>
    <t xml:space="preserve">Tayyab Traders Chakwal </t>
  </si>
  <si>
    <t>Ashfaq Commission Shop</t>
  </si>
  <si>
    <t xml:space="preserve">Grainco </t>
  </si>
  <si>
    <t xml:space="preserve">Islamabad Commission Shop </t>
  </si>
  <si>
    <t xml:space="preserve">hassan enterprises </t>
  </si>
  <si>
    <t>sadeeq brothers skt</t>
  </si>
  <si>
    <t xml:space="preserve">sheikh brothers lalamusa </t>
  </si>
  <si>
    <t>Product List</t>
  </si>
  <si>
    <t>#</t>
  </si>
  <si>
    <t>Product</t>
  </si>
  <si>
    <t>Unit Weight (KG)</t>
  </si>
  <si>
    <t>Pack (pcs)</t>
  </si>
  <si>
    <t>Pack Weight (KG)</t>
  </si>
  <si>
    <t>Commission Rate</t>
  </si>
  <si>
    <t>Category</t>
  </si>
  <si>
    <t>Comm Rate</t>
  </si>
  <si>
    <t>ZAFARANI STEAM GOLD 5KG</t>
  </si>
  <si>
    <t>ZAFARANI STEAM EVERYDAY 5KG</t>
  </si>
  <si>
    <t>ZAFARANI SELLA GOLDEN 10KG</t>
  </si>
  <si>
    <t>ZAFARANI SELLA AWAMI 25KG</t>
  </si>
  <si>
    <t>ZAFARANI STEAM B-1, 10KG</t>
  </si>
  <si>
    <t>ZAFARANI STEAM B-2, 10KG</t>
  </si>
  <si>
    <t>ZAFARANI STEAM B-2, 5KG</t>
  </si>
  <si>
    <t>GOLDEN CHANNI 4MM 25KG</t>
  </si>
  <si>
    <t>WHITE LOBIA 25KG</t>
  </si>
  <si>
    <t>SABZ MOONG 25KG</t>
  </si>
  <si>
    <t>LOBIA LSR 25KG</t>
  </si>
  <si>
    <t>DESI GHEE 1/2 KG</t>
  </si>
  <si>
    <t>DESI GHEE 1KG</t>
  </si>
  <si>
    <t>Allied Bank</t>
  </si>
  <si>
    <t>Chakwal</t>
  </si>
  <si>
    <t>Iftikhar Traders</t>
  </si>
  <si>
    <t>Askari Bank</t>
  </si>
  <si>
    <t>M Zaman Kotli</t>
  </si>
  <si>
    <t>Bank Alfalah</t>
  </si>
  <si>
    <t>Shahmeer Traders Kharian</t>
  </si>
  <si>
    <t>Bank of Punjab</t>
  </si>
  <si>
    <t>Faysal Bank</t>
  </si>
  <si>
    <t>HBL</t>
  </si>
  <si>
    <t>Gujrat</t>
  </si>
  <si>
    <t>Meezan Bank</t>
  </si>
  <si>
    <t>MCB</t>
  </si>
  <si>
    <t>National Bank</t>
  </si>
  <si>
    <t>UBL</t>
  </si>
  <si>
    <t>Rawalpindi</t>
  </si>
  <si>
    <t>Cash</t>
  </si>
  <si>
    <t>SAVE BUTTON  —  INSTALLATION GUIDE</t>
  </si>
  <si>
    <t>This code finds the form by reading its own labels and headings, then remembers the positions as</t>
  </si>
  <si>
    <t>named ranges. If you ever move rows or columns, just run SetupNames once - no code editing.</t>
  </si>
  <si>
    <t>STEP 1  -  The file must be saved as .xlsm  (File &gt; Save As &gt; Excel Macro-Enabled Workbook).</t>
  </si>
  <si>
    <t xml:space="preserve">           If a yellow security bar appears, click Enable Content.</t>
  </si>
  <si>
    <t>STEP 2  -  Press ALT + F11 to open the VBA editor.</t>
  </si>
  <si>
    <t>STEP 3  -  Remove any OLD module: right-click Module1 in the left pane &gt; Remove Module1 &gt; No.</t>
  </si>
  <si>
    <t xml:space="preserve">           Skipping this causes 'Ambiguous name detected'.</t>
  </si>
  <si>
    <t>STEP 4  -  Insert &gt; Module.  Then on this sheet click A29, press CTRL + SHIFT + END,</t>
  </si>
  <si>
    <t xml:space="preserve">           CTRL + C, click into the blank module window and CTRL + V.</t>
  </si>
  <si>
    <t>STEP 5  -  Debug &gt; Compile VBAProject.  Silence means it is clean.</t>
  </si>
  <si>
    <t>STEP 6  -  Press ALT + F8, select SetupNames, click Run.  You should see 'Form map rebuilt'.</t>
  </si>
  <si>
    <t>STEP 7  -  ALT + Q to return to Excel. On 'Data Entry' right-click each button &gt; Assign Macro:</t>
  </si>
  <si>
    <t xml:space="preserve">           SAVE / UPDATE &gt; btnSave      LOAD FOR EDIT &gt; btnEdit      DELETE INVOICE &gt; btnDelete</t>
  </si>
  <si>
    <t xml:space="preserve">           CLEAR FORM &gt; btnClear        OPEN DATABASE &gt; btnDatabase</t>
  </si>
  <si>
    <t>STEP 8  -  Test: fill an invoice and click SAVE / UPDATE, then check the Database sheet.</t>
  </si>
  <si>
    <t>----------  COPY FROM ROW 29 DOWN INTO THE MODULE  ----------</t>
  </si>
  <si>
    <t>Option Explicit</t>
  </si>
  <si>
    <t>Const FRM As String = "Data Entry"</t>
  </si>
  <si>
    <t>Const DBS As String = "Database"</t>
  </si>
  <si>
    <t>REM ================= form map =================</t>
  </si>
  <si>
    <t>REM  Run SetupNames once, and again after any layout change.</t>
  </si>
  <si>
    <t>Sub SetupNames()</t>
  </si>
  <si>
    <t xml:space="preserve">    Dim ws As Worksheet, hdr As Range, tot As Range, lbl As Range</t>
  </si>
  <si>
    <t xml:space="preserve">    Dim hr As Long, r1 As Long, r2 As Long, lc As Long</t>
  </si>
  <si>
    <t xml:space="preserve">    Dim cDesc As Long, cQty As Long, cR40 As Long</t>
  </si>
  <si>
    <t xml:space="preserve">    Set ws = ThisWorkbook.Sheets(FRM)</t>
  </si>
  <si>
    <t xml:space="preserve">    Set hdr = ws.Cells.Find(What:="Description (Product)", LookIn:=xlValues, LookAt:=xlWhole)</t>
  </si>
  <si>
    <t xml:space="preserve">    If hdr Is Nothing Then MsgBox "Cannot find the heading 'Description (Product)'.", vbCritical: Exit Sub</t>
  </si>
  <si>
    <t xml:space="preserve">    hr = hdr.Row</t>
  </si>
  <si>
    <t xml:space="preserve">    cDesc = hdr.Column</t>
  </si>
  <si>
    <t xml:space="preserve">    cQty = HeaderCol(ws, hr, "Qty (Packs)")</t>
  </si>
  <si>
    <t xml:space="preserve">    cR40 = HeaderCol(ws, hr, "Rate 40Kg")</t>
  </si>
  <si>
    <t xml:space="preserve">    If cQty = 0 Or cR40 = 0 Then MsgBox "Cannot find 'Qty (Packs)' or 'Rate 40Kg' in row " &amp; hr &amp; ".", vbCritical: Exit Sub</t>
  </si>
  <si>
    <t xml:space="preserve">    Set tot = ws.Columns(cDesc).Find(What:="INVOICE TOTAL", LookIn:=xlValues, LookAt:=xlWhole)</t>
  </si>
  <si>
    <t xml:space="preserve">    If tot Is Nothing Then MsgBox "Cannot find the INVOICE TOTAL row.", vbCritical: Exit Sub</t>
  </si>
  <si>
    <t xml:space="preserve">    r1 = hr + 1</t>
  </si>
  <si>
    <t xml:space="preserve">    r2 = tot.Row - 1</t>
  </si>
  <si>
    <t xml:space="preserve">    Set lbl = ws.Cells.Find(What:="Invoice No.", LookIn:=xlValues, LookAt:=xlWhole)</t>
  </si>
  <si>
    <t xml:space="preserve">    If lbl Is Nothing Then MsgBox "Cannot find the 'Invoice No.' label.", vbCritical: Exit Sub</t>
  </si>
  <si>
    <t xml:space="preserve">    lc = lbl.Column</t>
  </si>
  <si>
    <t xml:space="preserve">    AddName "frmDesc", ws.Range(ws.Cells(r1, cDesc), ws.Cells(r2, cDesc))</t>
  </si>
  <si>
    <t xml:space="preserve">    AddName "frmQty", ws.Range(ws.Cells(r1, cQty), ws.Cells(r2, cQty))</t>
  </si>
  <si>
    <t xml:space="preserve">    AddName "frmR40", ws.Range(ws.Cells(r1, cR40), ws.Cells(r2, cR40))</t>
  </si>
  <si>
    <t xml:space="preserve">    If Not LabelName(ws, lc, "Invoice No.", 2, "frmInvNo") Then Exit Sub</t>
  </si>
  <si>
    <t xml:space="preserve">    If Not LabelName(ws, lc, "Invoice Date", 2, "frmDate") Then Exit Sub</t>
  </si>
  <si>
    <t xml:space="preserve">    If Not LabelName(ws, lc, "Party (Name)", 2, "frmParty") Then Exit Sub</t>
  </si>
  <si>
    <t xml:space="preserve">    If Not LabelName(ws, lc, "City", 2, "frmCity") Then Exit Sub</t>
  </si>
  <si>
    <t xml:space="preserve">    If Not LabelName(ws, lc, "Sub Party", 2, "frmSubParty") Then Exit Sub</t>
  </si>
  <si>
    <t xml:space="preserve">    If Not LabelName(ws, lc, "ASM / Salesperson", 2, "frmASM") Then Exit Sub</t>
  </si>
  <si>
    <t xml:space="preserve">    MsgBox "Form map rebuilt." &amp; vbCrLf &amp; vbCrLf &amp; _</t>
  </si>
  <si>
    <t xml:space="preserve">           "Line rows: " &amp; r1 &amp; " to " &amp; r2 &amp; vbCrLf &amp; _</t>
  </si>
  <si>
    <t xml:space="preserve">           "Totals row: " &amp; tot.Row, vbInformation</t>
  </si>
  <si>
    <t>End Sub</t>
  </si>
  <si>
    <t>Private Function HeaderCol(ws As Worksheet, hr As Long, txt As String) As Long</t>
  </si>
  <si>
    <t xml:space="preserve">    Dim c As Range</t>
  </si>
  <si>
    <t xml:space="preserve">    Set c = ws.Rows(hr).Find(What:=txt, LookIn:=xlValues, LookAt:=xlWhole)</t>
  </si>
  <si>
    <t xml:space="preserve">    If c Is Nothing Then HeaderCol = 0 Else HeaderCol = c.Column</t>
  </si>
  <si>
    <t>End Function</t>
  </si>
  <si>
    <t>Private Function LabelName(ws As Worksheet, lc As Long, txt As String, offs As Long, nm As String) As Boolean</t>
  </si>
  <si>
    <t xml:space="preserve">    LabelName = False</t>
  </si>
  <si>
    <t xml:space="preserve">    Set c = ws.Columns(lc).Find(What:=txt, LookIn:=xlValues, LookAt:=xlWhole)</t>
  </si>
  <si>
    <t xml:space="preserve">    If c Is Nothing Then MsgBox "Cannot find the label '" &amp; txt &amp; "'.", vbCritical: Exit Function</t>
  </si>
  <si>
    <t xml:space="preserve">    AddName nm, ws.Cells(c.Row, lc + offs)</t>
  </si>
  <si>
    <t xml:space="preserve">    LabelName = True</t>
  </si>
  <si>
    <t>Private Sub AddName(nm As String, rg As Range)</t>
  </si>
  <si>
    <t xml:space="preserve">    On Error Resume Next</t>
  </si>
  <si>
    <t xml:space="preserve">    ThisWorkbook.Names(nm).Delete</t>
  </si>
  <si>
    <t xml:space="preserve">    On Error GoTo 0</t>
  </si>
  <si>
    <t xml:space="preserve">    ThisWorkbook.Names.Add Name:=nm, RefersTo:=rg</t>
  </si>
  <si>
    <t>REM ================= buttons =================</t>
  </si>
  <si>
    <t>Sub btnSave()</t>
  </si>
  <si>
    <t xml:space="preserve">    Dim db As Worksheet, i As Long, n As Long, cap As Long, rw As Long</t>
  </si>
  <si>
    <t xml:space="preserve">    Dim inv As String, existing As Long</t>
  </si>
  <si>
    <t xml:space="preserve">    Set db = ThisWorkbook.Sheets(DBS)</t>
  </si>
  <si>
    <t xml:space="preserve">    If Not FormIsValid() Then Exit Sub</t>
  </si>
  <si>
    <t xml:space="preserve">    inv = Trim(CStr(NR("frmInvNo").Value))</t>
  </si>
  <si>
    <t xml:space="preserve">    existing = CountInvoiceRows(inv)</t>
  </si>
  <si>
    <t xml:space="preserve">    If existing &gt; 0 Then</t>
  </si>
  <si>
    <t xml:space="preserve">        If MsgBox("Invoice " &amp; inv &amp; " already has " &amp; existing &amp; " line(s) in the Database." &amp; vbCrLf &amp; _</t>
  </si>
  <si>
    <t xml:space="preserve">                  "Replace them with what is on the form?", vbYesNo + vbQuestion, "Update invoice") &lt;&gt; vbYes Then Exit Sub</t>
  </si>
  <si>
    <t xml:space="preserve">        DeleteInvoiceRows inv</t>
  </si>
  <si>
    <t xml:space="preserve">    End If</t>
  </si>
  <si>
    <t xml:space="preserve">    Application.ScreenUpdating = False</t>
  </si>
  <si>
    <t xml:space="preserve">    cap = NR("frmDesc").Rows.Count</t>
  </si>
  <si>
    <t xml:space="preserve">    rw = FirstEmptyDbRow()</t>
  </si>
  <si>
    <t xml:space="preserve">    n = 0</t>
  </si>
  <si>
    <t xml:space="preserve">    For i = 1 To cap</t>
  </si>
  <si>
    <t xml:space="preserve">        If Trim(CStr(NR("frmDesc").Cells(i, 1).Value)) &lt;&gt; "" Then</t>
  </si>
  <si>
    <t xml:space="preserve">            db.Cells(rw, 1).Value = NR("frmInvNo").Value</t>
  </si>
  <si>
    <t xml:space="preserve">            db.Cells(rw, 2).Value = NR("frmDate").Value</t>
  </si>
  <si>
    <t xml:space="preserve">            db.Cells(rw, 3).Value = NR("frmParty").Value</t>
  </si>
  <si>
    <t xml:space="preserve">            db.Cells(rw, 4).Value = NR("frmSubParty").Value</t>
  </si>
  <si>
    <t xml:space="preserve">            db.Cells(rw, 5).Value = NR("frmCity").Value</t>
  </si>
  <si>
    <t xml:space="preserve">            db.Cells(rw, 6).Value = NR("frmASM").Value</t>
  </si>
  <si>
    <t xml:space="preserve">            db.Cells(rw, 7).Value = NR("frmDesc").Cells(i, 1).Value</t>
  </si>
  <si>
    <t xml:space="preserve">            db.Cells(rw, 8).Value = NR("frmQty").Cells(i, 1).Value</t>
  </si>
  <si>
    <t xml:space="preserve">            db.Cells(rw, 9).Value = NR("frmR40").Cells(i, 1).Value</t>
  </si>
  <si>
    <t xml:space="preserve">            rw = rw + 1</t>
  </si>
  <si>
    <t xml:space="preserve">            n = n + 1</t>
  </si>
  <si>
    <t xml:space="preserve">        End If</t>
  </si>
  <si>
    <t xml:space="preserve">    Next i</t>
  </si>
  <si>
    <t xml:space="preserve">    Application.ScreenUpdating = True</t>
  </si>
  <si>
    <t xml:space="preserve">    MsgBox n &amp; " line(s) saved for invoice " &amp; inv &amp; ".", vbInformation</t>
  </si>
  <si>
    <t xml:space="preserve">    btnClear</t>
  </si>
  <si>
    <t>Sub btnEdit()</t>
  </si>
  <si>
    <t xml:space="preserve">    Dim db As Worksheet, i As Long, n As Long, cap As Long, last As Long</t>
  </si>
  <si>
    <t xml:space="preserve">    Dim inv As String</t>
  </si>
  <si>
    <t xml:space="preserve">    inv = Trim(CStr(InputBox("Which invoice number do you want to load?", "Load for edit")))</t>
  </si>
  <si>
    <t xml:space="preserve">    If inv = "" Then Exit Sub</t>
  </si>
  <si>
    <t xml:space="preserve">    If CountInvoiceRows(inv) = 0 Then MsgBox "Invoice " &amp; inv &amp; " was not found.", vbExclamation: Exit Sub</t>
  </si>
  <si>
    <t xml:space="preserve">    ClearForm</t>
  </si>
  <si>
    <t xml:space="preserve">    last = LastDbRow()</t>
  </si>
  <si>
    <t xml:space="preserve">    For i = 2 To last</t>
  </si>
  <si>
    <t xml:space="preserve">        If Trim(CStr(db.Cells(i, 1).Value)) = inv Then</t>
  </si>
  <si>
    <t xml:space="preserve">            If n = 0 Then</t>
  </si>
  <si>
    <t xml:space="preserve">                NR("frmInvNo").Value = db.Cells(i, 1).Value</t>
  </si>
  <si>
    <t xml:space="preserve">                NR("frmDate").Value = db.Cells(i, 2).Value</t>
  </si>
  <si>
    <t xml:space="preserve">                NR("frmParty").Value = db.Cells(i, 3).Value</t>
  </si>
  <si>
    <t xml:space="preserve">                NR("frmSubParty").Value = db.Cells(i, 4).Value</t>
  </si>
  <si>
    <t xml:space="preserve">                NR("frmCity").Value = db.Cells(i, 5).Value</t>
  </si>
  <si>
    <t xml:space="preserve">                NR("frmASM").Value = db.Cells(i, 6).Value</t>
  </si>
  <si>
    <t xml:space="preserve">            End If</t>
  </si>
  <si>
    <t xml:space="preserve">            If n &lt; cap Then</t>
  </si>
  <si>
    <t xml:space="preserve">                NR("frmDesc").Cells(n + 1, 1).Value = db.Cells(i, 7).Value</t>
  </si>
  <si>
    <t xml:space="preserve">                NR("frmQty").Cells(n + 1, 1).Value = db.Cells(i, 8).Value</t>
  </si>
  <si>
    <t xml:space="preserve">                NR("frmR40").Cells(n + 1, 1).Value = db.Cells(i, 9).Value</t>
  </si>
  <si>
    <t xml:space="preserve">                n = n + 1</t>
  </si>
  <si>
    <t xml:space="preserve">    MsgBox n &amp; " line(s) loaded. Change what you need then click SAVE / UPDATE.", vbInformation</t>
  </si>
  <si>
    <t>Sub btnDelete()</t>
  </si>
  <si>
    <t xml:space="preserve">    Dim inv As String, cnt As Long</t>
  </si>
  <si>
    <t xml:space="preserve">    inv = Trim(CStr(InputBox("Which invoice number do you want to delete?", "Delete invoice")))</t>
  </si>
  <si>
    <t xml:space="preserve">    cnt = CountInvoiceRows(inv)</t>
  </si>
  <si>
    <t xml:space="preserve">    If cnt = 0 Then MsgBox "Invoice " &amp; inv &amp; " was not found.", vbExclamation: Exit Sub</t>
  </si>
  <si>
    <t xml:space="preserve">    If MsgBox("Delete all " &amp; cnt &amp; " line(s) of invoice " &amp; inv &amp; "?", vbYesNo + vbExclamation, "Delete invoice") &lt;&gt; vbYes Then Exit Sub</t>
  </si>
  <si>
    <t xml:space="preserve">    DeleteInvoiceRows inv</t>
  </si>
  <si>
    <t xml:space="preserve">    MsgBox cnt &amp; " line(s) deleted.", vbInformation</t>
  </si>
  <si>
    <t>Sub btnClear()</t>
  </si>
  <si>
    <t>Sub btnDatabase()</t>
  </si>
  <si>
    <t xml:space="preserve">    ThisWorkbook.Sheets(DBS).Activate</t>
  </si>
  <si>
    <t xml:space="preserve">    ThisWorkbook.Sheets(DBS).Range("A2").Select</t>
  </si>
  <si>
    <t>REM ================= helpers =================</t>
  </si>
  <si>
    <t>Private Function NR(nm As String) As Range</t>
  </si>
  <si>
    <t xml:space="preserve">    Set NR = ThisWorkbook.Names(nm).RefersToRange</t>
  </si>
  <si>
    <t xml:space="preserve">    If NR Is Nothing Then</t>
  </si>
  <si>
    <t xml:space="preserve">        MsgBox "The form map is missing or out of date." &amp; vbCrLf &amp; vbCrLf &amp; _</t>
  </si>
  <si>
    <t xml:space="preserve">               "Press ALT + F8, run SetupNames, then try again.", vbCritical, "Run SetupNames"</t>
  </si>
  <si>
    <t xml:space="preserve">        End</t>
  </si>
  <si>
    <t>Private Function LastDbRow() As Long</t>
  </si>
  <si>
    <t xml:space="preserve">    Dim db As Worksheet</t>
  </si>
  <si>
    <t xml:space="preserve">    LastDbRow = db.Cells(db.Rows.Count, 1).End(xlUp).Row</t>
  </si>
  <si>
    <t xml:space="preserve">    If LastDbRow &lt; 1 Then LastDbRow = 1</t>
  </si>
  <si>
    <t>Private Function FirstEmptyDbRow() As Long</t>
  </si>
  <si>
    <t xml:space="preserve">    FirstEmptyDbRow = LastDbRow() + 1</t>
  </si>
  <si>
    <t xml:space="preserve">    If FirstEmptyDbRow &lt; 2 Then FirstEmptyDbRow = 2</t>
  </si>
  <si>
    <t>Private Function CountInvoiceRows(inv As String) As Long</t>
  </si>
  <si>
    <t xml:space="preserve">    Dim db As Worksheet, i As Long, c As Long</t>
  </si>
  <si>
    <t xml:space="preserve">    For i = 2 To LastDbRow()</t>
  </si>
  <si>
    <t xml:space="preserve">        If Trim(CStr(db.Cells(i, 1).Value)) = inv Then c = c + 1</t>
  </si>
  <si>
    <t xml:space="preserve">    CountInvoiceRows = c</t>
  </si>
  <si>
    <t>REM  Clears the typed columns A:I of the invoice rows, then shifts the</t>
  </si>
  <si>
    <t>REM  rows below upwards so the log stays contiguous. Columns J:O hold</t>
  </si>
  <si>
    <t>REM  formulas in every row and are left untouched.</t>
  </si>
  <si>
    <t>Private Sub DeleteInvoiceRows(inv As String)</t>
  </si>
  <si>
    <t xml:space="preserve">    Dim db As Worksheet, i As Long, last As Long, dst As Long</t>
  </si>
  <si>
    <t xml:space="preserve">    dst = 2</t>
  </si>
  <si>
    <t xml:space="preserve">        If Trim(CStr(db.Cells(i, 1).Value)) &lt;&gt; inv Then</t>
  </si>
  <si>
    <t xml:space="preserve">            If dst &lt;&gt; i Then</t>
  </si>
  <si>
    <t xml:space="preserve">                db.Range(db.Cells(dst, 1), db.Cells(dst, 9)).Value = _</t>
  </si>
  <si>
    <t xml:space="preserve">                    db.Range(db.Cells(i, 1), db.Cells(i, 9)).Value</t>
  </si>
  <si>
    <t xml:space="preserve">            dst = dst + 1</t>
  </si>
  <si>
    <t xml:space="preserve">    For i = dst To last</t>
  </si>
  <si>
    <t xml:space="preserve">        db.Range(db.Cells(i, 1), db.Cells(i, 9)).ClearContents</t>
  </si>
  <si>
    <t>Private Sub ClearForm()</t>
  </si>
  <si>
    <t xml:space="preserve">    ClearCell NR("frmInvNo")</t>
  </si>
  <si>
    <t xml:space="preserve">    ClearCell NR("frmDate")</t>
  </si>
  <si>
    <t xml:space="preserve">    ClearCell NR("frmParty")</t>
  </si>
  <si>
    <t xml:space="preserve">    ClearCell NR("frmCity")</t>
  </si>
  <si>
    <t xml:space="preserve">    ClearCell NR("frmSubParty")</t>
  </si>
  <si>
    <t xml:space="preserve">    ClearCell NR("frmASM")</t>
  </si>
  <si>
    <t xml:space="preserve">    NR("frmDesc").ClearContents</t>
  </si>
  <si>
    <t xml:space="preserve">    NR("frmQty").ClearContents</t>
  </si>
  <si>
    <t xml:space="preserve">    NR("frmR40").ClearContents</t>
  </si>
  <si>
    <t>Private Sub ClearCell(rg As Range)</t>
  </si>
  <si>
    <t xml:space="preserve">    rg.MergeArea.ClearContents</t>
  </si>
  <si>
    <t>Private Function FormIsValid() As Boolean</t>
  </si>
  <si>
    <t xml:space="preserve">    Dim i As Long, cap As Long, n As Long</t>
  </si>
  <si>
    <t xml:space="preserve">    FormIsValid = False</t>
  </si>
  <si>
    <t xml:space="preserve">    If Trim(CStr(NR("frmInvNo").Value)) = "" Then MsgBox "Enter the Invoice No.", vbExclamation: Exit Function</t>
  </si>
  <si>
    <t xml:space="preserve">    If Trim(CStr(NR("frmDate").Value)) = "" Then MsgBox "Enter the Invoice Date.", vbExclamation: Exit Function</t>
  </si>
  <si>
    <t xml:space="preserve">    If Trim(CStr(NR("frmParty").Value)) = "" Then MsgBox "Enter the Party (Name).", vbExclamation: Exit Function</t>
  </si>
  <si>
    <t xml:space="preserve">            If Nz(NR("frmQty").Cells(i, 1).Value) &lt;= 0 Then MsgBox "Line " &amp; i &amp; ": enter Qty (Packs).", vbExclamation: Exit Function</t>
  </si>
  <si>
    <t xml:space="preserve">            If Nz(NR("frmR40").Cells(i, 1).Value) &lt;= 0 Then MsgBox "Line " &amp; i &amp; ": enter Rate 40Kg.", vbExclamation: Exit Function</t>
  </si>
  <si>
    <t xml:space="preserve">    If n = 0 Then MsgBox "Enter at least one product line.", vbExclamation: Exit Function</t>
  </si>
  <si>
    <t xml:space="preserve">    FormIsValid = True</t>
  </si>
  <si>
    <t>Private Function Nz(v As Variant) As Double</t>
  </si>
  <si>
    <t xml:space="preserve">    If IsNumeric(v) Then Nz = CDbl(v) Else Nz = 0</t>
  </si>
  <si>
    <t>REM ==============================================</t>
  </si>
  <si>
    <t>REM  PAYMENTS FORM - assign SavePayment to the SAVE ENTRY button</t>
  </si>
  <si>
    <t>REM  and ClearPaymentForm to the CLEAR FORM button (right-click &gt; Assign Macro)</t>
  </si>
  <si>
    <t>Sub SavePayment()</t>
  </si>
  <si>
    <t xml:space="preserve">    Dim ws As Worksheet, lo As ListObject, r As ListRow</t>
  </si>
  <si>
    <t xml:space="preserve">    Set ws = ThisWorkbook.Worksheets("Payments")</t>
  </si>
  <si>
    <t xml:space="preserve">    Set lo = ws.ListObjects("tblPayments")</t>
  </si>
  <si>
    <t xml:space="preserve">    If ws.Range("C5").Value = "" Then MsgBox "Enter a date.", vbExclamation: Exit Sub</t>
  </si>
  <si>
    <t xml:space="preserve">    If Trim(ws.Range("C6").Value) = "" Then MsgBox "Select a party.", vbExclamation: Exit Sub</t>
  </si>
  <si>
    <t xml:space="preserve">    If Not IsNumeric(ws.Range("C10").Value) Or ws.Range("C10").Value = "" Then</t>
  </si>
  <si>
    <t xml:space="preserve">        MsgBox "Enter a valid amount.", vbExclamation: Exit Sub</t>
  </si>
  <si>
    <t xml:space="preserve">    ' first blank row inside the table, else add one</t>
  </si>
  <si>
    <t xml:space="preserve">    Dim i As Long, tgt As Range</t>
  </si>
  <si>
    <t xml:space="preserve">    For i = 1 To lo.ListRows.Count</t>
  </si>
  <si>
    <t xml:space="preserve">        If Application.CountA(lo.ListRows(i).Range) = 0 Then</t>
  </si>
  <si>
    <t xml:space="preserve">            Set tgt = lo.ListRows(i).Range</t>
  </si>
  <si>
    <t xml:space="preserve">            Exit For</t>
  </si>
  <si>
    <t xml:space="preserve">    If tgt Is Nothing Then Set tgt = lo.ListRows.Add.Range</t>
  </si>
  <si>
    <t xml:space="preserve">    tgt.Cells(1, 1).Value = ws.Range("C5").Value    ' Date</t>
  </si>
  <si>
    <t xml:space="preserve">    tgt.Cells(1, 2).Value = Trim(ws.Range("C6").Value)  ' Party</t>
  </si>
  <si>
    <t xml:space="preserve">    tgt.Cells(1, 3).Value = Trim(ws.Range("C7").Value)  ' Sub Party</t>
  </si>
  <si>
    <t xml:space="preserve">    tgt.Cells(1, 4).Value = ws.Range("C8").Value    ' Slip No.</t>
  </si>
  <si>
    <t xml:space="preserve">    tgt.Cells(1, 5).Value = ws.Range("C9").Value    ' Bank</t>
  </si>
  <si>
    <t xml:space="preserve">    tgt.Cells(1, 6).Value = ws.Range("C10").Value   ' Amount</t>
  </si>
  <si>
    <t xml:space="preserve">    tgt.Cells(1, 7).Value = ws.Range("C11").Value   ' Remarks</t>
  </si>
  <si>
    <t xml:space="preserve">    ClearPaymentForm</t>
  </si>
  <si>
    <t xml:space="preserve">    MsgBox "Payment saved.", vbInformation</t>
  </si>
  <si>
    <t>Sub ClearPaymentForm()</t>
  </si>
  <si>
    <t xml:space="preserve">    With ThisWorkbook.Worksheets("Payments")</t>
  </si>
  <si>
    <t xml:space="preserve">        .Range("C5:C11").ClearContents</t>
  </si>
  <si>
    <t xml:space="preserve">        .Range("C5").Select</t>
  </si>
  <si>
    <t xml:space="preserve">    End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</si>
</sst>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;(#,##0);&quot;–&quot;"/>
    <numFmt numFmtId="165" formatCode="#,##0.00;(#,##0.00);&quot;–&quot;"/>
    <numFmt numFmtId="166" formatCode="0.0%;-0.0%;&quot;–&quot;"/>
    <numFmt numFmtId="167" formatCode="0.0%"/>
    <numFmt numFmtId="168" formatCode="#,##0.0"/>
    <numFmt numFmtId="169" formatCode="dd-mmm-yyyy"/>
  </numFmts>
  <fonts count="54" x14ac:knownFonts="1">
    <font>
      <color theme="1"/>
      <family val="2"/>
      <scheme val="minor"/>
      <sz val="11"/>
      <name val="Calibri"/>
    </font>
    <font>
      <color rgb="FF708090"/>
      <sz val="10"/>
      <name val="Segoe UI"/>
    </font>
    <font>
      <b/>
      <color rgb="FF708090"/>
      <sz val="15"/>
      <name val="Segoe UI"/>
    </font>
    <font>
      <color rgb="FFE8EAED"/>
      <sz val="10"/>
      <name val="Segoe UI"/>
    </font>
    <font>
      <b/>
      <color rgb="FF708090"/>
      <scheme val="minor"/>
      <sz val="9"/>
      <name val="Calibri"/>
    </font>
    <font>
      <b/>
      <color rgb="FF60A5FA"/>
      <scheme val="minor"/>
      <sz val="9"/>
      <name val="Calibri"/>
    </font>
    <font>
      <color rgb="FFFAFAFA"/>
      <sz val="10"/>
      <name val="Segoe UI"/>
    </font>
    <font>
      <color rgb="FF94A3B8"/>
      <sz val="9"/>
      <name val="Segoe UI"/>
    </font>
    <font>
      <b/>
      <color rgb="FFE8EAED"/>
      <sz val="10"/>
      <name val="Segoe UI"/>
    </font>
    <font>
      <b/>
      <color rgb="FF708090"/>
      <sz val="9"/>
      <name val="Segoe UI"/>
    </font>
    <font>
      <color rgb="FF94A3B8"/>
      <sz val="10"/>
      <name val="Segoe UI"/>
    </font>
    <font>
      <b/>
      <color rgb="FF60A5FA"/>
      <sz val="11"/>
      <name val="Segoe UI"/>
    </font>
    <font>
      <b/>
      <color rgb="FF94A3B8"/>
      <sz val="8"/>
      <name val="Segoe UI"/>
    </font>
    <font>
      <b/>
      <color rgb="FF22C55E"/>
      <sz val="14"/>
      <name val="Calibri"/>
    </font>
    <font>
      <b/>
      <color rgb="FF7A828C"/>
      <sz val="8"/>
      <name val="Segoe UI"/>
    </font>
    <font>
      <b/>
      <color rgb="FF708090"/>
      <sz val="8"/>
      <name val="Segoe UI"/>
    </font>
    <font>
      <b/>
      <color rgb="FF60A5FA"/>
      <sz val="10"/>
      <name val="Segoe UI"/>
    </font>
    <font>
      <b/>
      <color rgb="FF22C55E"/>
      <sz val="10"/>
      <name val="Segoe UI"/>
    </font>
    <font>
      <b/>
      <color rgb="FFC9CDD3"/>
      <sz val="10"/>
      <name val="Segoe UI"/>
    </font>
    <font>
      <b/>
      <color rgb="FF708090"/>
      <sz val="10"/>
      <name val="Segoe UI"/>
    </font>
    <font>
      <i/>
      <color rgb="FF94A3B8"/>
      <sz val="9"/>
      <name val="Segoe UI"/>
    </font>
    <font>
      <i/>
      <color rgb="FF7A828C"/>
      <sz val="9"/>
      <name val="Segoe UI"/>
    </font>
    <font>
      <b/>
      <color rgb="FF708090"/>
      <family val="2"/>
      <scheme val="minor"/>
      <sz val="9"/>
      <name val="Calibri"/>
    </font>
    <font>
      <b/>
      <color rgb="FF60A5FA"/>
      <family val="2"/>
      <scheme val="minor"/>
      <sz val="9"/>
      <name val="Calibri"/>
    </font>
    <font>
      <b/>
      <color rgb="FF22C55E"/>
      <sz val="7"/>
      <name val="Segoe UI"/>
    </font>
    <font>
      <b/>
      <color rgb="FF22C55E"/>
      <family val="2"/>
      <scheme val="minor"/>
      <sz val="20"/>
      <name val="Calibri"/>
    </font>
    <font>
      <b/>
      <color rgb="FFFFFFFF"/>
      <family val="2"/>
      <scheme val="minor"/>
      <sz val="20"/>
      <name val="Calibri"/>
    </font>
    <font>
      <b/>
      <color rgb="FF708090"/>
      <sz val="11"/>
      <name val="Segoe UI"/>
    </font>
    <font>
      <b/>
      <color rgb="FF22C55E"/>
      <sz val="11"/>
      <name val="Segoe UI"/>
    </font>
    <font>
      <color rgb="FF22C55E"/>
      <sz val="10"/>
      <name val="Segoe UI"/>
    </font>
    <font>
      <color rgb="FFC9CDD3"/>
      <sz val="10"/>
      <name val="Segoe UI"/>
    </font>
    <font>
      <b/>
      <color rgb="FF94A3B8"/>
      <sz val="10"/>
      <name val="Segoe UI"/>
    </font>
    <font>
      <color rgb="FF8A8F98"/>
      <sz val="9"/>
      <name val="Segoe UI"/>
    </font>
    <font>
      <b/>
      <color rgb="FFF59E0B"/>
      <sz val="10"/>
      <name val="Segoe UI"/>
    </font>
    <font>
      <color theme="1"/>
      <family val="2"/>
      <sz val="11"/>
      <name val="Segoe UI"/>
    </font>
    <font>
      <color rgb="FF0F172A"/>
      <family val="2"/>
      <scheme val="minor"/>
      <sz val="11"/>
      <name val="Calibri"/>
    </font>
    <font>
      <color theme="1"/>
      <sz val="11"/>
      <name val="Segoe UI"/>
    </font>
    <font>
      <color rgb="FF8A8A8A"/>
      <sz val="11"/>
      <name val="Segoe UI"/>
    </font>
    <font>
      <color rgb="FFFAFAFA"/>
      <sz val="11"/>
      <name val="Segoe UI"/>
    </font>
    <font>
      <b/>
      <color rgb="FFFAFAFA"/>
      <sz val="11"/>
      <name val="Segoe UI"/>
    </font>
    <font>
      <color rgb="FF708090"/>
      <sz val="15"/>
      <name val="Segoe UI"/>
    </font>
    <font>
      <b/>
      <color rgb="FFE8EAED"/>
      <sz val="12"/>
      <name val="Segoe UI"/>
    </font>
    <font>
      <b/>
      <color rgb="FF22C55E"/>
      <sz val="12"/>
      <name val="Segoe UI"/>
    </font>
    <font>
      <b/>
      <color rgb="FFF59E0B"/>
      <sz val="12"/>
      <name val="Segoe UI"/>
    </font>
    <font>
      <color rgb="FF708090"/>
      <sz val="9"/>
      <name val="Segoe UI"/>
    </font>
    <font>
      <color rgb="FFF59E0B"/>
      <sz val="10"/>
      <name val="Segoe UI"/>
    </font>
    <font>
      <b/>
      <color rgb="FF92D050"/>
      <family val="2"/>
      <scheme val="minor"/>
      <sz val="16"/>
      <name val="Calibri"/>
    </font>
    <font>
      <b/>
      <color rgb="FF708090"/>
      <sz val="16"/>
      <name val="Segoe UI"/>
    </font>
    <font>
      <b/>
      <color rgb="FF22C55E"/>
      <sz val="8"/>
      <name val="Segoe UI"/>
    </font>
    <font>
      <color rgb="FF708090"/>
      <sz val="8"/>
      <name val="Segoe UI"/>
    </font>
    <font>
      <color rgb="FF8A8A8A"/>
      <sz val="10"/>
      <name val="Segoe UI"/>
    </font>
    <font>
      <b/>
      <color rgb="FF94A3B8"/>
      <sz val="16"/>
      <name val="Segoe UI"/>
    </font>
    <font>
      <color rgb="FF8A8A8A"/>
      <sz val="9"/>
      <name val="Consolas"/>
    </font>
    <font>
      <color theme="1"/>
      <sz val="9"/>
      <name val="Consolas"/>
    </font>
  </fonts>
  <fills count="13">
    <fill>
      <patternFill patternType="none"/>
    </fill>
    <fill>
      <patternFill patternType="gray125"/>
    </fill>
    <fill>
      <patternFill patternType="solid">
        <fgColor rgb="FF2F7BF6"/>
        <bgColor indexed="64"/>
      </patternFill>
    </fill>
    <fill>
      <patternFill patternType="solid">
        <fgColor rgb="FF2F3640"/>
        <bgColor indexed="64"/>
      </patternFill>
    </fill>
    <fill>
      <patternFill patternType="solid">
        <fgColor rgb="FF16233F"/>
        <bgColor indexed="64"/>
      </patternFill>
    </fill>
    <fill>
      <patternFill patternType="solid">
        <fgColor rgb="FF272C34"/>
        <bgColor indexed="64"/>
      </patternFill>
    </fill>
    <fill>
      <patternFill patternType="solid">
        <fgColor rgb="FF363D47"/>
        <bgColor indexed="64"/>
      </patternFill>
    </fill>
    <fill>
      <patternFill patternType="solid">
        <fgColor rgb="FF3E4651"/>
        <bgColor indexed="64"/>
      </patternFill>
    </fill>
    <fill>
      <patternFill patternType="solid">
        <fgColor rgb="FF3A414B"/>
        <bgColor indexed="64"/>
      </patternFill>
    </fill>
    <fill>
      <patternFill patternType="solid">
        <fgColor rgb="FF143323"/>
        <bgColor indexed="64"/>
      </patternFill>
    </fill>
    <fill>
      <patternFill patternType="solid">
        <fgColor rgb="FF2E220B"/>
        <bgColor indexed="64"/>
      </patternFill>
    </fill>
    <fill>
      <patternFill patternType="solid">
        <fgColor rgb="FFE8EEF6"/>
        <bgColor indexed="64"/>
      </patternFill>
    </fill>
    <fill>
      <patternFill patternType="solid">
        <fgColor rgb="FF17181A"/>
        <bgColor indexed="64"/>
      </patternFill>
    </fill>
  </fills>
  <borders count="47">
    <border>
      <left/>
      <right/>
      <top/>
      <bottom/>
      <diagonal/>
    </border>
    <border>
      <left style="thin">
        <color rgb="FF26272B"/>
      </left>
      <right style="thin">
        <color rgb="FF1E1F23"/>
      </right>
      <top style="thin">
        <color rgb="FF26272B"/>
      </top>
      <bottom style="thin">
        <color rgb="FF1E1F23"/>
      </bottom>
      <diagonal/>
    </border>
    <border>
      <left style="thin">
        <color rgb="FF1E1F23"/>
      </left>
      <right style="thin">
        <color rgb="FF1E1F23"/>
      </right>
      <top style="thin">
        <color rgb="FF26272B"/>
      </top>
      <bottom style="thin">
        <color rgb="FF1E1F23"/>
      </bottom>
      <diagonal/>
    </border>
    <border>
      <left style="thin">
        <color rgb="FF1E1F23"/>
      </left>
      <right/>
      <top style="thin">
        <color rgb="FF26272B"/>
      </top>
      <bottom style="thin">
        <color rgb="FF1E1F23"/>
      </bottom>
      <diagonal/>
    </border>
    <border>
      <left style="thin">
        <color rgb="FF1E1F23"/>
      </left>
      <right style="thin">
        <color rgb="FF26272B"/>
      </right>
      <top style="thin">
        <color rgb="FF26272B"/>
      </top>
      <bottom style="thin">
        <color rgb="FF1E1F23"/>
      </bottom>
      <diagonal/>
    </border>
    <border>
      <left style="thin">
        <color rgb="FF26272B"/>
      </left>
      <right style="thin">
        <color rgb="FF1E1F23"/>
      </right>
      <top style="thin">
        <color rgb="FF1E1F23"/>
      </top>
      <bottom style="thin">
        <color rgb="FF1E1F23"/>
      </bottom>
      <diagonal/>
    </border>
    <border>
      <left style="thin">
        <color rgb="FF1E1F23"/>
      </left>
      <right style="thin">
        <color rgb="FF1E1F23"/>
      </right>
      <top style="thin">
        <color rgb="FF1E1F23"/>
      </top>
      <bottom style="thin">
        <color rgb="FF1E1F23"/>
      </bottom>
      <diagonal/>
    </border>
    <border>
      <left style="thin">
        <color rgb="FF1E1F23"/>
      </left>
      <right/>
      <top style="thin">
        <color rgb="FF1E1F23"/>
      </top>
      <bottom style="thin">
        <color rgb="FF1E1F23"/>
      </bottom>
      <diagonal/>
    </border>
    <border>
      <left style="thin">
        <color rgb="FF1E1F23"/>
      </left>
      <right style="thin">
        <color rgb="FF26272B"/>
      </right>
      <top style="thin">
        <color rgb="FF1E1F23"/>
      </top>
      <bottom style="thin">
        <color rgb="FF1E1F23"/>
      </bottom>
      <diagonal/>
    </border>
    <border>
      <left style="thin">
        <color rgb="FF26272B"/>
      </left>
      <right style="thin">
        <color rgb="FF1E1F23"/>
      </right>
      <top style="thin">
        <color rgb="FF1E1F23"/>
      </top>
      <bottom style="thin">
        <color rgb="FF26272B"/>
      </bottom>
      <diagonal/>
    </border>
    <border>
      <left style="thin">
        <color rgb="FF1E1F23"/>
      </left>
      <right style="thin">
        <color rgb="FF1E1F23"/>
      </right>
      <top style="thin">
        <color rgb="FF1E1F23"/>
      </top>
      <bottom style="thin">
        <color rgb="FF26272B"/>
      </bottom>
      <diagonal/>
    </border>
    <border>
      <left style="thin">
        <color rgb="FF1E1F23"/>
      </left>
      <right/>
      <top style="thin">
        <color rgb="FF1E1F23"/>
      </top>
      <bottom style="thin">
        <color rgb="FF26272B"/>
      </bottom>
      <diagonal/>
    </border>
    <border>
      <left style="thin">
        <color rgb="FF1E1F23"/>
      </left>
      <right style="thin">
        <color rgb="FF26272B"/>
      </right>
      <top style="thin">
        <color rgb="FF1E1F23"/>
      </top>
      <bottom style="thin">
        <color rgb="FF26272B"/>
      </bottom>
      <diagonal/>
    </border>
    <border>
      <left/>
      <right style="thin">
        <color rgb="FF262626"/>
      </right>
      <top/>
      <bottom/>
      <diagonal/>
    </border>
    <border>
      <left style="thin">
        <color rgb="FF26272B"/>
      </left>
      <right style="thin">
        <color rgb="FF1E1F23"/>
      </right>
      <top style="thin">
        <color rgb="FF26272B"/>
      </top>
      <bottom style="thin">
        <color rgb="FF26272B"/>
      </bottom>
      <diagonal/>
    </border>
    <border>
      <left style="thin">
        <color rgb="FF1E1F23"/>
      </left>
      <right style="thin">
        <color rgb="FF1E1F23"/>
      </right>
      <top style="thin">
        <color rgb="FF26272B"/>
      </top>
      <bottom style="thin">
        <color rgb="FF26272B"/>
      </bottom>
      <diagonal/>
    </border>
    <border>
      <left style="thin">
        <color rgb="FF1E1F23"/>
      </left>
      <right style="thin">
        <color rgb="FF26272B"/>
      </right>
      <top style="thin">
        <color rgb="FF26272B"/>
      </top>
      <bottom style="thin">
        <color rgb="FF26272B"/>
      </bottom>
      <diagonal/>
    </border>
    <border>
      <left style="thin">
        <color rgb="FF26272B"/>
      </left>
      <right style="thin">
        <color rgb="FF1E1F23"/>
      </right>
      <top/>
      <bottom style="thin">
        <color rgb="FF1E1F23"/>
      </bottom>
      <diagonal/>
    </border>
    <border>
      <left style="thin">
        <color rgb="FF1E1F23"/>
      </left>
      <right style="thin">
        <color rgb="FF1E1F23"/>
      </right>
      <top/>
      <bottom style="thin">
        <color rgb="FF1E1F23"/>
      </bottom>
      <diagonal/>
    </border>
    <border>
      <left style="thin">
        <color rgb="FF1E1F23"/>
      </left>
      <right style="thin">
        <color rgb="FF26272B"/>
      </right>
      <top/>
      <bottom style="thin">
        <color rgb="FF1E1F23"/>
      </bottom>
      <diagonal/>
    </border>
    <border>
      <left style="thin">
        <color rgb="FF26272B"/>
      </left>
      <right style="thin">
        <color rgb="FF1E1F23"/>
      </right>
      <top style="thin">
        <color rgb="FF1E1F23"/>
      </top>
      <bottom/>
      <diagonal/>
    </border>
    <border>
      <left style="thin">
        <color rgb="FF1E1F23"/>
      </left>
      <right style="thin">
        <color rgb="FF1E1F23"/>
      </right>
      <top style="thin">
        <color rgb="FF1E1F23"/>
      </top>
      <bottom/>
      <diagonal/>
    </border>
    <border>
      <left style="thin">
        <color rgb="FF1E1F23"/>
      </left>
      <right style="thin">
        <color rgb="FF26272B"/>
      </right>
      <top style="thin">
        <color rgb="FF1E1F23"/>
      </top>
      <bottom/>
      <diagonal/>
    </border>
    <border>
      <left style="thick">
        <color rgb="FF2F7BF6"/>
      </left>
      <right/>
      <top/>
      <bottom style="thin">
        <color rgb="FF262626"/>
      </bottom>
      <diagonal/>
    </border>
    <border>
      <left/>
      <right/>
      <top/>
      <bottom style="thin">
        <color rgb="FF262626"/>
      </bottom>
      <diagonal/>
    </border>
    <border>
      <left/>
      <right style="thin">
        <color rgb="FF262626"/>
      </right>
      <top/>
      <bottom style="thin">
        <color rgb="FF262626"/>
      </bottom>
      <diagonal/>
    </border>
    <border>
      <left style="thin">
        <color rgb="FF26272B"/>
      </left>
      <right/>
      <top style="thin">
        <color rgb="FF26272B"/>
      </top>
      <bottom/>
      <diagonal/>
    </border>
    <border>
      <left/>
      <right style="thin">
        <color rgb="FF26272B"/>
      </right>
      <top style="thin">
        <color rgb="FF26272B"/>
      </top>
      <bottom/>
      <diagonal/>
    </border>
    <border>
      <left style="thin">
        <color rgb="FF26272B"/>
      </left>
      <right/>
      <top/>
      <bottom/>
      <diagonal/>
    </border>
    <border>
      <left/>
      <right style="thin">
        <color rgb="FF26272B"/>
      </right>
      <top/>
      <bottom/>
      <diagonal/>
    </border>
    <border>
      <left style="thin">
        <color rgb="FF26272B"/>
      </left>
      <right/>
      <top/>
      <bottom style="thin">
        <color rgb="FF26272B"/>
      </bottom>
      <diagonal/>
    </border>
    <border>
      <left/>
      <right style="thin">
        <color rgb="FF26272B"/>
      </right>
      <top/>
      <bottom style="thin">
        <color rgb="FF26272B"/>
      </bottom>
      <diagonal/>
    </border>
    <border>
      <left/>
      <right/>
      <top style="thin">
        <color rgb="FF26272B"/>
      </top>
      <bottom/>
      <diagonal/>
    </border>
    <border>
      <left/>
      <right/>
      <top/>
      <bottom style="thin">
        <color rgb="FF26272B"/>
      </bottom>
      <diagonal/>
    </border>
    <border>
      <left style="thin">
        <color rgb="FF26272B"/>
      </left>
      <right/>
      <top style="thin">
        <color rgb="FF1E1F23"/>
      </top>
      <bottom/>
      <diagonal/>
    </border>
    <border>
      <left/>
      <right/>
      <top style="thin">
        <color rgb="FF1E1F23"/>
      </top>
      <bottom/>
      <diagonal/>
    </border>
    <border>
      <left/>
      <right style="thin">
        <color rgb="FF26272B"/>
      </right>
      <top style="thin">
        <color rgb="FF1E1F23"/>
      </top>
      <bottom/>
      <diagonal/>
    </border>
    <border>
      <left style="thin">
        <color rgb="FF26272B"/>
      </left>
      <right/>
      <top style="thin">
        <color rgb="FF1E1F23"/>
      </top>
      <bottom style="thin">
        <color rgb="FF1E1F23"/>
      </bottom>
      <diagonal/>
    </border>
    <border>
      <left/>
      <right/>
      <top style="thin">
        <color rgb="FF1E1F23"/>
      </top>
      <bottom style="thin">
        <color rgb="FF1E1F23"/>
      </bottom>
      <diagonal/>
    </border>
    <border>
      <left/>
      <right style="thin">
        <color rgb="FF26272B"/>
      </right>
      <top style="thin">
        <color rgb="FF1E1F23"/>
      </top>
      <bottom style="thin">
        <color rgb="FF1E1F23"/>
      </bottom>
      <diagonal/>
    </border>
    <border>
      <left/>
      <right/>
      <top style="thin">
        <color rgb="FF262626"/>
      </top>
      <bottom style="thin">
        <color rgb="FF262626"/>
      </bottom>
      <diagonal/>
    </border>
    <border>
      <left style="thin">
        <color rgb="FF262626"/>
      </left>
      <right/>
      <top style="thin">
        <color rgb="FF262626"/>
      </top>
      <bottom style="thin">
        <color rgb="FF262626"/>
      </bottom>
      <diagonal/>
    </border>
    <border>
      <left/>
      <right style="thin">
        <color rgb="FF262626"/>
      </right>
      <top style="thin">
        <color rgb="FF262626"/>
      </top>
      <bottom style="thin">
        <color rgb="FF262626"/>
      </bottom>
      <diagonal/>
    </border>
    <border>
      <left/>
      <right/>
      <top style="thin">
        <color rgb="FF262626"/>
      </top>
      <bottom/>
      <diagonal/>
    </border>
    <border>
      <left style="thin">
        <color rgb="FF26272B"/>
      </left>
      <right style="thin">
        <color rgb="FF26272B"/>
      </right>
      <top style="thin">
        <color rgb="FF26272B"/>
      </top>
      <bottom style="thin">
        <color rgb="FF26272B"/>
      </bottom>
      <diagonal/>
    </border>
    <border>
      <left style="thin">
        <color rgb="FF2F6FED"/>
      </left>
      <right style="thin">
        <color rgb="FF2F6FED"/>
      </right>
      <top style="thin">
        <color rgb="FF26272B"/>
      </top>
      <bottom/>
      <diagonal/>
    </border>
    <border>
      <left/>
      <right/>
      <top style="thin">
        <color rgb="FF3A3A3A"/>
      </top>
      <bottom style="thin">
        <color rgb="FF262626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/>
    <xf numFmtId="49" fontId="4" fillId="4" borderId="0" xfId="0" applyNumberFormat="1" applyFont="1" applyFill="1" applyAlignment="1">
      <alignment horizontal="center"/>
    </xf>
    <xf numFmtId="49" fontId="5" fillId="4" borderId="0" xfId="0" applyNumberFormat="1" applyFont="1" applyFill="1" applyAlignment="1">
      <alignment horizontal="center"/>
    </xf>
    <xf numFmtId="0" fontId="6" fillId="5" borderId="0" xfId="0" applyFont="1" applyFill="1"/>
    <xf numFmtId="0" fontId="7" fillId="3" borderId="0" xfId="0" applyFont="1" applyFill="1" applyAlignment="1">
      <alignment horizontal="left" vertical="center"/>
    </xf>
    <xf numFmtId="0" fontId="8" fillId="3" borderId="0" xfId="0" applyFont="1" applyFill="1"/>
    <xf numFmtId="0" fontId="9" fillId="3" borderId="0" xfId="0" applyFont="1" applyFill="1" applyAlignment="1">
      <alignment horizontal="left"/>
    </xf>
    <xf numFmtId="0" fontId="10" fillId="6" borderId="1" xfId="0" applyFont="1" applyFill="1" applyBorder="1" applyAlignment="1">
      <alignment horizontal="left" vertical="center" indent="1"/>
    </xf>
    <xf numFmtId="0" fontId="8" fillId="6" borderId="2" xfId="0" applyFont="1" applyFill="1" applyBorder="1" applyAlignment="1">
      <alignment horizontal="left" vertical="center" indent="1"/>
    </xf>
    <xf numFmtId="0" fontId="11" fillId="7" borderId="2" xfId="0" applyFont="1" applyFill="1" applyBorder="1" applyAlignment="1">
      <alignment horizontal="left" indent="1"/>
    </xf>
    <xf numFmtId="0" fontId="11" fillId="7" borderId="3" xfId="0" applyFont="1" applyFill="1" applyBorder="1" applyAlignment="1">
      <alignment horizontal="left" indent="1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4" xfId="0" applyFont="1" applyFill="1" applyBorder="1"/>
    <xf numFmtId="0" fontId="10" fillId="6" borderId="5" xfId="0" applyFont="1" applyFill="1" applyBorder="1" applyAlignment="1">
      <alignment horizontal="left" vertical="center" indent="1"/>
    </xf>
    <xf numFmtId="0" fontId="8" fillId="6" borderId="6" xfId="0" applyFont="1" applyFill="1" applyBorder="1" applyAlignment="1">
      <alignment horizontal="left" vertical="center" indent="1"/>
    </xf>
    <xf numFmtId="14" fontId="11" fillId="7" borderId="6" xfId="0" applyNumberFormat="1" applyFont="1" applyFill="1" applyBorder="1" applyAlignment="1">
      <alignment horizontal="left" vertical="center" indent="1"/>
    </xf>
    <xf numFmtId="0" fontId="11" fillId="7" borderId="7" xfId="0" applyFont="1" applyFill="1" applyBorder="1" applyAlignment="1">
      <alignment horizontal="left" vertical="center" indent="1"/>
    </xf>
    <xf numFmtId="0" fontId="12" fillId="6" borderId="5" xfId="0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right" vertical="center" indent="1"/>
    </xf>
    <xf numFmtId="164" fontId="13" fillId="6" borderId="6" xfId="0" applyNumberFormat="1" applyFont="1" applyFill="1" applyBorder="1" applyAlignment="1">
      <alignment horizontal="right" vertical="center"/>
    </xf>
    <xf numFmtId="0" fontId="8" fillId="6" borderId="8" xfId="0" applyFont="1" applyFill="1" applyBorder="1" applyAlignment="1">
      <alignment horizontal="right" vertical="center"/>
    </xf>
    <xf numFmtId="0" fontId="11" fillId="7" borderId="6" xfId="0" applyFont="1" applyFill="1" applyBorder="1" applyAlignment="1">
      <alignment horizontal="left" vertical="center" indent="1"/>
    </xf>
    <xf numFmtId="165" fontId="13" fillId="6" borderId="6" xfId="0" applyNumberFormat="1" applyFont="1" applyFill="1" applyBorder="1" applyAlignment="1">
      <alignment horizontal="right" vertical="center"/>
    </xf>
    <xf numFmtId="0" fontId="10" fillId="6" borderId="9" xfId="0" applyFont="1" applyFill="1" applyBorder="1" applyAlignment="1">
      <alignment horizontal="left" vertical="center" indent="1"/>
    </xf>
    <xf numFmtId="0" fontId="8" fillId="6" borderId="10" xfId="0" applyFont="1" applyFill="1" applyBorder="1" applyAlignment="1">
      <alignment horizontal="left" vertical="center" indent="1"/>
    </xf>
    <xf numFmtId="0" fontId="11" fillId="7" borderId="10" xfId="0" applyFont="1" applyFill="1" applyBorder="1" applyAlignment="1">
      <alignment horizontal="left" vertical="center" indent="1"/>
    </xf>
    <xf numFmtId="0" fontId="11" fillId="7" borderId="11" xfId="0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left" vertical="center" indent="1"/>
    </xf>
    <xf numFmtId="3" fontId="8" fillId="6" borderId="10" xfId="0" applyNumberFormat="1" applyFont="1" applyFill="1" applyBorder="1" applyAlignment="1">
      <alignment horizontal="right" vertical="center" indent="1"/>
    </xf>
    <xf numFmtId="0" fontId="8" fillId="6" borderId="12" xfId="0" applyFont="1" applyFill="1" applyBorder="1" applyAlignment="1">
      <alignment horizontal="right" vertical="center"/>
    </xf>
    <xf numFmtId="0" fontId="3" fillId="3" borderId="13" xfId="0" applyFont="1" applyFill="1" applyBorder="1"/>
    <xf numFmtId="0" fontId="9" fillId="3" borderId="0" xfId="0" applyFont="1" applyFill="1" applyAlignment="1">
      <alignment horizontal="left" vertical="center" indent="1"/>
    </xf>
    <xf numFmtId="0" fontId="8" fillId="3" borderId="0" xfId="0" applyFont="1" applyFill="1" applyAlignment="1">
      <alignment vertical="center" indent="1"/>
    </xf>
    <xf numFmtId="0" fontId="3" fillId="3" borderId="0" xfId="0" applyFont="1" applyFill="1" applyAlignment="1">
      <alignment horizontal="right" vertical="center" indent="1"/>
    </xf>
    <xf numFmtId="0" fontId="3" fillId="3" borderId="0" xfId="0" applyFont="1" applyFill="1" applyAlignment="1">
      <alignment horizontal="right" vertical="center"/>
    </xf>
    <xf numFmtId="0" fontId="15" fillId="6" borderId="14" xfId="0" applyFont="1" applyFill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left" vertical="center" indent="1"/>
    </xf>
    <xf numFmtId="164" fontId="16" fillId="6" borderId="18" xfId="0" applyNumberFormat="1" applyFont="1" applyFill="1" applyBorder="1" applyAlignment="1">
      <alignment horizontal="right" vertical="center" indent="1"/>
    </xf>
    <xf numFmtId="164" fontId="10" fillId="6" borderId="6" xfId="0" applyNumberFormat="1" applyFont="1" applyFill="1" applyBorder="1" applyAlignment="1">
      <alignment horizontal="right" vertical="center" indent="1"/>
    </xf>
    <xf numFmtId="165" fontId="16" fillId="6" borderId="18" xfId="0" applyNumberFormat="1" applyFont="1" applyFill="1" applyBorder="1" applyAlignment="1">
      <alignment horizontal="right" vertical="center" indent="1"/>
    </xf>
    <xf numFmtId="165" fontId="10" fillId="6" borderId="18" xfId="0" applyNumberFormat="1" applyFont="1" applyFill="1" applyBorder="1" applyAlignment="1">
      <alignment horizontal="right" vertical="center" indent="1"/>
    </xf>
    <xf numFmtId="164" fontId="17" fillId="6" borderId="18" xfId="0" applyNumberFormat="1" applyFont="1" applyFill="1" applyBorder="1" applyAlignment="1">
      <alignment horizontal="right" vertical="center" indent="1"/>
    </xf>
    <xf numFmtId="164" fontId="10" fillId="6" borderId="19" xfId="0" applyNumberFormat="1" applyFont="1" applyFill="1" applyBorder="1" applyAlignment="1">
      <alignment horizontal="right" vertical="center" indent="1"/>
    </xf>
    <xf numFmtId="0" fontId="10" fillId="8" borderId="5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left" vertical="center" indent="1"/>
    </xf>
    <xf numFmtId="164" fontId="16" fillId="8" borderId="6" xfId="0" applyNumberFormat="1" applyFont="1" applyFill="1" applyBorder="1" applyAlignment="1">
      <alignment horizontal="right" vertical="center" indent="1"/>
    </xf>
    <xf numFmtId="165" fontId="16" fillId="8" borderId="6" xfId="0" applyNumberFormat="1" applyFont="1" applyFill="1" applyBorder="1" applyAlignment="1">
      <alignment horizontal="right" vertical="center" indent="1"/>
    </xf>
    <xf numFmtId="165" fontId="10" fillId="8" borderId="6" xfId="0" applyNumberFormat="1" applyFont="1" applyFill="1" applyBorder="1" applyAlignment="1">
      <alignment horizontal="right" vertical="center" indent="1"/>
    </xf>
    <xf numFmtId="164" fontId="17" fillId="8" borderId="6" xfId="0" applyNumberFormat="1" applyFont="1" applyFill="1" applyBorder="1" applyAlignment="1">
      <alignment horizontal="right" vertical="center" indent="1"/>
    </xf>
    <xf numFmtId="164" fontId="10" fillId="8" borderId="8" xfId="0" applyNumberFormat="1" applyFont="1" applyFill="1" applyBorder="1" applyAlignment="1">
      <alignment horizontal="right" vertical="center" indent="1"/>
    </xf>
    <xf numFmtId="0" fontId="10" fillId="6" borderId="5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left" vertical="center" indent="1"/>
    </xf>
    <xf numFmtId="164" fontId="16" fillId="6" borderId="6" xfId="0" applyNumberFormat="1" applyFont="1" applyFill="1" applyBorder="1" applyAlignment="1">
      <alignment horizontal="right" vertical="center" indent="1"/>
    </xf>
    <xf numFmtId="165" fontId="16" fillId="6" borderId="6" xfId="0" applyNumberFormat="1" applyFont="1" applyFill="1" applyBorder="1" applyAlignment="1">
      <alignment horizontal="right" vertical="center" indent="1"/>
    </xf>
    <xf numFmtId="165" fontId="10" fillId="6" borderId="6" xfId="0" applyNumberFormat="1" applyFont="1" applyFill="1" applyBorder="1" applyAlignment="1">
      <alignment horizontal="right" vertical="center" indent="1"/>
    </xf>
    <xf numFmtId="164" fontId="17" fillId="6" borderId="6" xfId="0" applyNumberFormat="1" applyFont="1" applyFill="1" applyBorder="1" applyAlignment="1">
      <alignment horizontal="right" vertical="center" indent="1"/>
    </xf>
    <xf numFmtId="164" fontId="10" fillId="6" borderId="8" xfId="0" applyNumberFormat="1" applyFont="1" applyFill="1" applyBorder="1" applyAlignment="1">
      <alignment horizontal="right" vertical="center" indent="1"/>
    </xf>
    <xf numFmtId="164" fontId="10" fillId="8" borderId="6" xfId="0" applyNumberFormat="1" applyFont="1" applyFill="1" applyBorder="1" applyAlignment="1">
      <alignment horizontal="right" vertical="center" indent="1"/>
    </xf>
    <xf numFmtId="0" fontId="10" fillId="8" borderId="20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left" vertical="center" indent="1"/>
    </xf>
    <xf numFmtId="164" fontId="16" fillId="8" borderId="21" xfId="0" applyNumberFormat="1" applyFont="1" applyFill="1" applyBorder="1" applyAlignment="1">
      <alignment horizontal="right" vertical="center" indent="1"/>
    </xf>
    <xf numFmtId="164" fontId="10" fillId="8" borderId="21" xfId="0" applyNumberFormat="1" applyFont="1" applyFill="1" applyBorder="1" applyAlignment="1">
      <alignment horizontal="right" vertical="center" indent="1"/>
    </xf>
    <xf numFmtId="165" fontId="16" fillId="8" borderId="21" xfId="0" applyNumberFormat="1" applyFont="1" applyFill="1" applyBorder="1" applyAlignment="1">
      <alignment horizontal="right" vertical="center" indent="1"/>
    </xf>
    <xf numFmtId="165" fontId="10" fillId="8" borderId="21" xfId="0" applyNumberFormat="1" applyFont="1" applyFill="1" applyBorder="1" applyAlignment="1">
      <alignment horizontal="right" vertical="center" indent="1"/>
    </xf>
    <xf numFmtId="164" fontId="17" fillId="8" borderId="21" xfId="0" applyNumberFormat="1" applyFont="1" applyFill="1" applyBorder="1" applyAlignment="1">
      <alignment horizontal="right" vertical="center" indent="1"/>
    </xf>
    <xf numFmtId="164" fontId="10" fillId="8" borderId="22" xfId="0" applyNumberFormat="1" applyFont="1" applyFill="1" applyBorder="1" applyAlignment="1">
      <alignment horizontal="right" vertical="center" indent="1"/>
    </xf>
    <xf numFmtId="0" fontId="18" fillId="7" borderId="14" xfId="0" applyFont="1" applyFill="1" applyBorder="1" applyAlignment="1">
      <alignment horizontal="left" vertical="center"/>
    </xf>
    <xf numFmtId="0" fontId="19" fillId="7" borderId="15" xfId="0" applyFont="1" applyFill="1" applyBorder="1" applyAlignment="1">
      <alignment horizontal="left" vertical="center" indent="1"/>
    </xf>
    <xf numFmtId="164" fontId="17" fillId="7" borderId="15" xfId="0" applyNumberFormat="1" applyFont="1" applyFill="1" applyBorder="1" applyAlignment="1">
      <alignment horizontal="right" vertical="center" indent="1"/>
    </xf>
    <xf numFmtId="165" fontId="17" fillId="7" borderId="15" xfId="0" applyNumberFormat="1" applyFont="1" applyFill="1" applyBorder="1" applyAlignment="1">
      <alignment horizontal="right" vertical="center" indent="1"/>
    </xf>
    <xf numFmtId="164" fontId="17" fillId="7" borderId="16" xfId="0" applyNumberFormat="1" applyFont="1" applyFill="1" applyBorder="1" applyAlignment="1">
      <alignment horizontal="right" vertical="center" indent="1"/>
    </xf>
    <xf numFmtId="0" fontId="20" fillId="3" borderId="23" xfId="0" applyFont="1" applyFill="1" applyBorder="1" applyAlignment="1">
      <alignment vertical="center" indent="1"/>
    </xf>
    <xf numFmtId="0" fontId="21" fillId="3" borderId="24" xfId="0" applyFont="1" applyFill="1" applyBorder="1" applyAlignment="1">
      <alignment vertical="center" indent="1"/>
    </xf>
    <xf numFmtId="0" fontId="21" fillId="3" borderId="25" xfId="0" applyFont="1" applyFill="1" applyBorder="1" applyAlignment="1">
      <alignment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49" fontId="22" fillId="4" borderId="0" xfId="0" applyNumberFormat="1" applyFont="1" applyFill="1" applyAlignment="1">
      <alignment horizontal="center" vertical="center"/>
    </xf>
    <xf numFmtId="49" fontId="23" fillId="4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3" fillId="6" borderId="26" xfId="0" applyFont="1" applyFill="1" applyBorder="1"/>
    <xf numFmtId="0" fontId="3" fillId="6" borderId="27" xfId="0" applyFont="1" applyFill="1" applyBorder="1"/>
    <xf numFmtId="0" fontId="15" fillId="6" borderId="28" xfId="0" applyFont="1" applyFill="1" applyBorder="1" applyAlignment="1">
      <alignment vertical="center" indent="1"/>
    </xf>
    <xf numFmtId="0" fontId="24" fillId="9" borderId="29" xfId="0" applyFont="1" applyFill="1" applyBorder="1" applyAlignment="1">
      <alignment horizontal="center" vertical="center"/>
    </xf>
    <xf numFmtId="0" fontId="24" fillId="10" borderId="29" xfId="0" applyFont="1" applyFill="1" applyBorder="1" applyAlignment="1">
      <alignment horizontal="center" vertical="center"/>
    </xf>
    <xf numFmtId="0" fontId="24" fillId="4" borderId="29" xfId="0" applyFont="1" applyFill="1" applyBorder="1" applyAlignment="1">
      <alignment horizontal="center" vertical="center"/>
    </xf>
    <xf numFmtId="3" fontId="25" fillId="6" borderId="28" xfId="0" applyNumberFormat="1" applyFont="1" applyFill="1" applyBorder="1" applyAlignment="1">
      <alignment horizontal="left" vertical="center" indent="1"/>
    </xf>
    <xf numFmtId="0" fontId="26" fillId="6" borderId="29" xfId="0" applyFont="1" applyFill="1" applyBorder="1" applyAlignment="1">
      <alignment horizontal="left" vertical="center" indent="1"/>
    </xf>
    <xf numFmtId="4" fontId="25" fillId="6" borderId="28" xfId="0" applyNumberFormat="1" applyFont="1" applyFill="1" applyBorder="1" applyAlignment="1">
      <alignment horizontal="left" vertical="center" indent="1"/>
    </xf>
    <xf numFmtId="0" fontId="3" fillId="6" borderId="30" xfId="0" applyFont="1" applyFill="1" applyBorder="1"/>
    <xf numFmtId="0" fontId="3" fillId="6" borderId="31" xfId="0" applyFont="1" applyFill="1" applyBorder="1"/>
    <xf numFmtId="0" fontId="3" fillId="6" borderId="32" xfId="0" applyFont="1" applyFill="1" applyBorder="1"/>
    <xf numFmtId="0" fontId="27" fillId="6" borderId="28" xfId="0" applyFont="1" applyFill="1" applyBorder="1" applyAlignment="1">
      <alignment vertical="center" indent="1"/>
    </xf>
    <xf numFmtId="0" fontId="3" fillId="6" borderId="0" xfId="0" applyFont="1" applyFill="1"/>
    <xf numFmtId="0" fontId="3" fillId="6" borderId="29" xfId="0" applyFont="1" applyFill="1" applyBorder="1"/>
    <xf numFmtId="0" fontId="10" fillId="6" borderId="28" xfId="0" applyFont="1" applyFill="1" applyBorder="1" applyAlignment="1">
      <alignment vertical="center" indent="1"/>
    </xf>
    <xf numFmtId="164" fontId="11" fillId="6" borderId="0" xfId="0" applyNumberFormat="1" applyFont="1" applyFill="1" applyAlignment="1">
      <alignment horizontal="right" vertical="center"/>
    </xf>
    <xf numFmtId="0" fontId="20" fillId="6" borderId="0" xfId="0" applyFont="1" applyFill="1" applyAlignment="1">
      <alignment vertical="center"/>
    </xf>
    <xf numFmtId="164" fontId="28" fillId="6" borderId="0" xfId="0" applyNumberFormat="1" applyFont="1" applyFill="1" applyAlignment="1">
      <alignment horizontal="right" vertical="center"/>
    </xf>
    <xf numFmtId="166" fontId="28" fillId="6" borderId="0" xfId="0" applyNumberFormat="1" applyFont="1" applyFill="1" applyAlignment="1">
      <alignment horizontal="right" vertical="center"/>
    </xf>
    <xf numFmtId="166" fontId="29" fillId="6" borderId="0" xfId="0" applyNumberFormat="1" applyFont="1" applyFill="1" applyAlignment="1">
      <alignment horizontal="right" vertical="center"/>
    </xf>
    <xf numFmtId="0" fontId="29" fillId="6" borderId="0" xfId="0" applyFont="1" applyFill="1"/>
    <xf numFmtId="0" fontId="3" fillId="6" borderId="33" xfId="0" applyFont="1" applyFill="1" applyBorder="1"/>
    <xf numFmtId="0" fontId="15" fillId="6" borderId="28" xfId="0" applyFont="1" applyFill="1" applyBorder="1" applyAlignment="1">
      <alignment horizontal="left" vertical="center" indent="1"/>
    </xf>
    <xf numFmtId="0" fontId="1" fillId="6" borderId="0" xfId="0" applyFont="1" applyFill="1"/>
    <xf numFmtId="0" fontId="15" fillId="6" borderId="0" xfId="0" applyFont="1" applyFill="1" applyAlignment="1">
      <alignment horizontal="right" vertical="center"/>
    </xf>
    <xf numFmtId="0" fontId="15" fillId="6" borderId="0" xfId="0" applyFont="1" applyFill="1" applyAlignment="1">
      <alignment horizontal="left" vertical="center" indent="1"/>
    </xf>
    <xf numFmtId="0" fontId="10" fillId="6" borderId="26" xfId="0" applyFont="1" applyFill="1" applyBorder="1" applyAlignment="1">
      <alignment vertical="center" indent="1"/>
    </xf>
    <xf numFmtId="164" fontId="10" fillId="6" borderId="32" xfId="0" applyNumberFormat="1" applyFont="1" applyFill="1" applyBorder="1" applyAlignment="1">
      <alignment horizontal="right" vertical="center"/>
    </xf>
    <xf numFmtId="0" fontId="30" fillId="6" borderId="32" xfId="0" applyFont="1" applyFill="1" applyBorder="1" applyAlignment="1">
      <alignment horizontal="right" vertical="center"/>
    </xf>
    <xf numFmtId="164" fontId="17" fillId="6" borderId="32" xfId="0" applyNumberFormat="1" applyFont="1" applyFill="1" applyBorder="1" applyAlignment="1">
      <alignment horizontal="right" vertical="center"/>
    </xf>
    <xf numFmtId="165" fontId="29" fillId="6" borderId="32" xfId="0" applyNumberFormat="1" applyFont="1" applyFill="1" applyBorder="1" applyAlignment="1">
      <alignment horizontal="right" vertical="center"/>
    </xf>
    <xf numFmtId="166" fontId="31" fillId="6" borderId="32" xfId="0" applyNumberFormat="1" applyFont="1" applyFill="1" applyBorder="1" applyAlignment="1">
      <alignment horizontal="right" vertical="center"/>
    </xf>
    <xf numFmtId="0" fontId="10" fillId="6" borderId="34" xfId="0" applyFont="1" applyFill="1" applyBorder="1" applyAlignment="1">
      <alignment vertical="center" indent="1"/>
    </xf>
    <xf numFmtId="0" fontId="3" fillId="6" borderId="35" xfId="0" applyFont="1" applyFill="1" applyBorder="1"/>
    <xf numFmtId="164" fontId="10" fillId="6" borderId="35" xfId="0" applyNumberFormat="1" applyFont="1" applyFill="1" applyBorder="1" applyAlignment="1">
      <alignment horizontal="right" vertical="center"/>
    </xf>
    <xf numFmtId="0" fontId="30" fillId="6" borderId="35" xfId="0" applyFont="1" applyFill="1" applyBorder="1" applyAlignment="1">
      <alignment horizontal="right" vertical="center"/>
    </xf>
    <xf numFmtId="164" fontId="17" fillId="6" borderId="35" xfId="0" applyNumberFormat="1" applyFont="1" applyFill="1" applyBorder="1" applyAlignment="1">
      <alignment horizontal="right" vertical="center"/>
    </xf>
    <xf numFmtId="165" fontId="29" fillId="6" borderId="35" xfId="0" applyNumberFormat="1" applyFont="1" applyFill="1" applyBorder="1" applyAlignment="1">
      <alignment horizontal="right" vertical="center"/>
    </xf>
    <xf numFmtId="166" fontId="31" fillId="6" borderId="35" xfId="0" applyNumberFormat="1" applyFont="1" applyFill="1" applyBorder="1" applyAlignment="1">
      <alignment horizontal="right" vertical="center"/>
    </xf>
    <xf numFmtId="0" fontId="3" fillId="6" borderId="36" xfId="0" applyFont="1" applyFill="1" applyBorder="1"/>
    <xf numFmtId="0" fontId="10" fillId="6" borderId="37" xfId="0" applyFont="1" applyFill="1" applyBorder="1" applyAlignment="1">
      <alignment vertical="center" indent="1"/>
    </xf>
    <xf numFmtId="0" fontId="3" fillId="6" borderId="38" xfId="0" applyFont="1" applyFill="1" applyBorder="1"/>
    <xf numFmtId="164" fontId="10" fillId="6" borderId="38" xfId="0" applyNumberFormat="1" applyFont="1" applyFill="1" applyBorder="1" applyAlignment="1">
      <alignment horizontal="right" vertical="center"/>
    </xf>
    <xf numFmtId="0" fontId="30" fillId="6" borderId="38" xfId="0" applyFont="1" applyFill="1" applyBorder="1" applyAlignment="1">
      <alignment horizontal="right" vertical="center"/>
    </xf>
    <xf numFmtId="164" fontId="17" fillId="6" borderId="38" xfId="0" applyNumberFormat="1" applyFont="1" applyFill="1" applyBorder="1" applyAlignment="1">
      <alignment horizontal="right" vertical="center"/>
    </xf>
    <xf numFmtId="165" fontId="29" fillId="6" borderId="38" xfId="0" applyNumberFormat="1" applyFont="1" applyFill="1" applyBorder="1" applyAlignment="1">
      <alignment horizontal="right" vertical="center"/>
    </xf>
    <xf numFmtId="166" fontId="31" fillId="6" borderId="38" xfId="0" applyNumberFormat="1" applyFont="1" applyFill="1" applyBorder="1" applyAlignment="1">
      <alignment horizontal="right" vertical="center"/>
    </xf>
    <xf numFmtId="0" fontId="3" fillId="6" borderId="39" xfId="0" applyFont="1" applyFill="1" applyBorder="1"/>
    <xf numFmtId="0" fontId="31" fillId="7" borderId="28" xfId="0" applyFont="1" applyFill="1" applyBorder="1" applyAlignment="1">
      <alignment vertical="center" indent="1"/>
    </xf>
    <xf numFmtId="0" fontId="8" fillId="7" borderId="0" xfId="0" applyFont="1" applyFill="1"/>
    <xf numFmtId="164" fontId="17" fillId="7" borderId="0" xfId="0" applyNumberFormat="1" applyFont="1" applyFill="1" applyAlignment="1">
      <alignment horizontal="right" vertical="center"/>
    </xf>
    <xf numFmtId="0" fontId="17" fillId="7" borderId="0" xfId="0" applyFont="1" applyFill="1" applyAlignment="1">
      <alignment horizontal="right" vertical="center"/>
    </xf>
    <xf numFmtId="165" fontId="17" fillId="7" borderId="0" xfId="0" applyNumberFormat="1" applyFont="1" applyFill="1" applyAlignment="1">
      <alignment horizontal="right" vertical="center"/>
    </xf>
    <xf numFmtId="166" fontId="17" fillId="7" borderId="0" xfId="0" applyNumberFormat="1" applyFont="1" applyFill="1" applyAlignment="1">
      <alignment horizontal="right" vertical="center"/>
    </xf>
    <xf numFmtId="0" fontId="17" fillId="7" borderId="0" xfId="0" applyFont="1" applyFill="1"/>
    <xf numFmtId="0" fontId="8" fillId="7" borderId="29" xfId="0" applyFont="1" applyFill="1" applyBorder="1"/>
    <xf numFmtId="0" fontId="14" fillId="6" borderId="29" xfId="0" applyFont="1" applyFill="1" applyBorder="1" applyAlignment="1">
      <alignment horizontal="left" vertical="center" indent="1"/>
    </xf>
    <xf numFmtId="0" fontId="32" fillId="6" borderId="27" xfId="0" applyFont="1" applyFill="1" applyBorder="1" applyAlignment="1">
      <alignment vertical="center" indent="1"/>
    </xf>
    <xf numFmtId="0" fontId="32" fillId="6" borderId="36" xfId="0" applyFont="1" applyFill="1" applyBorder="1" applyAlignment="1">
      <alignment vertical="center" indent="1"/>
    </xf>
    <xf numFmtId="0" fontId="32" fillId="6" borderId="39" xfId="0" applyFont="1" applyFill="1" applyBorder="1" applyAlignment="1">
      <alignment vertical="center" indent="1"/>
    </xf>
    <xf numFmtId="164" fontId="25" fillId="6" borderId="28" xfId="0" applyNumberFormat="1" applyFont="1" applyFill="1" applyBorder="1" applyAlignment="1">
      <alignment horizontal="left" vertical="center" indent="1"/>
    </xf>
    <xf numFmtId="167" fontId="25" fillId="6" borderId="28" xfId="0" applyNumberFormat="1" applyFont="1" applyFill="1" applyBorder="1" applyAlignment="1">
      <alignment horizontal="left" vertical="center" indent="1"/>
    </xf>
    <xf numFmtId="164" fontId="29" fillId="6" borderId="32" xfId="0" applyNumberFormat="1" applyFont="1" applyFill="1" applyBorder="1" applyAlignment="1">
      <alignment horizontal="right" vertical="center"/>
    </xf>
    <xf numFmtId="164" fontId="30" fillId="6" borderId="32" xfId="0" applyNumberFormat="1" applyFont="1" applyFill="1" applyBorder="1" applyAlignment="1">
      <alignment horizontal="right" vertical="center"/>
    </xf>
    <xf numFmtId="164" fontId="33" fillId="6" borderId="32" xfId="0" applyNumberFormat="1" applyFont="1" applyFill="1" applyBorder="1" applyAlignment="1">
      <alignment horizontal="right" vertical="center"/>
    </xf>
    <xf numFmtId="15" fontId="29" fillId="6" borderId="32" xfId="0" applyNumberFormat="1" applyFont="1" applyFill="1" applyBorder="1" applyAlignment="1">
      <alignment horizontal="right" vertical="center"/>
    </xf>
    <xf numFmtId="167" fontId="31" fillId="6" borderId="32" xfId="0" applyNumberFormat="1" applyFont="1" applyFill="1" applyBorder="1" applyAlignment="1">
      <alignment horizontal="right" vertical="center"/>
    </xf>
    <xf numFmtId="164" fontId="29" fillId="6" borderId="35" xfId="0" applyNumberFormat="1" applyFont="1" applyFill="1" applyBorder="1" applyAlignment="1">
      <alignment horizontal="right" vertical="center"/>
    </xf>
    <xf numFmtId="164" fontId="30" fillId="6" borderId="35" xfId="0" applyNumberFormat="1" applyFont="1" applyFill="1" applyBorder="1" applyAlignment="1">
      <alignment horizontal="right" vertical="center"/>
    </xf>
    <xf numFmtId="164" fontId="33" fillId="6" borderId="35" xfId="0" applyNumberFormat="1" applyFont="1" applyFill="1" applyBorder="1" applyAlignment="1">
      <alignment horizontal="right" vertical="center"/>
    </xf>
    <xf numFmtId="15" fontId="29" fillId="6" borderId="35" xfId="0" applyNumberFormat="1" applyFont="1" applyFill="1" applyBorder="1" applyAlignment="1">
      <alignment horizontal="right" vertical="center"/>
    </xf>
    <xf numFmtId="167" fontId="31" fillId="6" borderId="35" xfId="0" applyNumberFormat="1" applyFont="1" applyFill="1" applyBorder="1" applyAlignment="1">
      <alignment horizontal="right" vertical="center"/>
    </xf>
    <xf numFmtId="164" fontId="29" fillId="6" borderId="38" xfId="0" applyNumberFormat="1" applyFont="1" applyFill="1" applyBorder="1" applyAlignment="1">
      <alignment horizontal="right" vertical="center"/>
    </xf>
    <xf numFmtId="164" fontId="30" fillId="6" borderId="38" xfId="0" applyNumberFormat="1" applyFont="1" applyFill="1" applyBorder="1" applyAlignment="1">
      <alignment horizontal="right" vertical="center"/>
    </xf>
    <xf numFmtId="164" fontId="33" fillId="6" borderId="38" xfId="0" applyNumberFormat="1" applyFont="1" applyFill="1" applyBorder="1" applyAlignment="1">
      <alignment horizontal="right" vertical="center"/>
    </xf>
    <xf numFmtId="15" fontId="29" fillId="6" borderId="38" xfId="0" applyNumberFormat="1" applyFont="1" applyFill="1" applyBorder="1" applyAlignment="1">
      <alignment horizontal="right" vertical="center"/>
    </xf>
    <xf numFmtId="167" fontId="31" fillId="6" borderId="38" xfId="0" applyNumberFormat="1" applyFont="1" applyFill="1" applyBorder="1" applyAlignment="1">
      <alignment horizontal="right" vertical="center"/>
    </xf>
    <xf numFmtId="0" fontId="34" fillId="11" borderId="0" xfId="0" applyFont="1" applyFill="1"/>
    <xf numFmtId="0" fontId="0" fillId="0" borderId="0" xfId="0" applyAlignment="1">
      <alignment horizontal="left"/>
    </xf>
    <xf numFmtId="0" fontId="35" fillId="0" borderId="0" xfId="0" applyFont="1" applyAlignment="1">
      <alignment horizontal="left"/>
    </xf>
    <xf numFmtId="0" fontId="15" fillId="7" borderId="3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36" fillId="0" borderId="0" xfId="0" applyFont="1" applyAlignment="1">
      <alignment horizontal="left"/>
    </xf>
    <xf numFmtId="0" fontId="10" fillId="6" borderId="24" xfId="0" applyFont="1" applyFill="1" applyBorder="1" applyAlignment="1">
      <alignment horizontal="left" vertical="center"/>
    </xf>
    <xf numFmtId="15" fontId="10" fillId="6" borderId="24" xfId="0" applyNumberFormat="1" applyFont="1" applyFill="1" applyBorder="1" applyAlignment="1">
      <alignment horizontal="left" vertical="center"/>
    </xf>
    <xf numFmtId="3" fontId="10" fillId="6" borderId="24" xfId="0" applyNumberFormat="1" applyFont="1" applyFill="1" applyBorder="1" applyAlignment="1">
      <alignment horizontal="right" vertical="center"/>
    </xf>
    <xf numFmtId="168" fontId="10" fillId="6" borderId="24" xfId="0" applyNumberFormat="1" applyFont="1" applyFill="1" applyBorder="1" applyAlignment="1">
      <alignment horizontal="right" vertical="center"/>
    </xf>
    <xf numFmtId="4" fontId="10" fillId="6" borderId="24" xfId="0" applyNumberFormat="1" applyFont="1" applyFill="1" applyBorder="1" applyAlignment="1">
      <alignment horizontal="right" vertical="center"/>
    </xf>
    <xf numFmtId="3" fontId="17" fillId="6" borderId="24" xfId="0" applyNumberFormat="1" applyFont="1" applyFill="1" applyBorder="1" applyAlignment="1">
      <alignment horizontal="right" vertical="center"/>
    </xf>
    <xf numFmtId="4" fontId="29" fillId="6" borderId="24" xfId="0" applyNumberFormat="1" applyFont="1" applyFill="1" applyBorder="1" applyAlignment="1">
      <alignment horizontal="right" vertical="center"/>
    </xf>
    <xf numFmtId="0" fontId="10" fillId="6" borderId="40" xfId="0" applyFont="1" applyFill="1" applyBorder="1" applyAlignment="1">
      <alignment horizontal="left" vertical="center"/>
    </xf>
    <xf numFmtId="15" fontId="10" fillId="6" borderId="40" xfId="0" applyNumberFormat="1" applyFont="1" applyFill="1" applyBorder="1" applyAlignment="1">
      <alignment horizontal="left" vertical="center"/>
    </xf>
    <xf numFmtId="3" fontId="10" fillId="6" borderId="40" xfId="0" applyNumberFormat="1" applyFont="1" applyFill="1" applyBorder="1" applyAlignment="1">
      <alignment horizontal="right" vertical="center"/>
    </xf>
    <xf numFmtId="168" fontId="10" fillId="6" borderId="40" xfId="0" applyNumberFormat="1" applyFont="1" applyFill="1" applyBorder="1" applyAlignment="1">
      <alignment horizontal="right" vertical="center"/>
    </xf>
    <xf numFmtId="4" fontId="10" fillId="6" borderId="40" xfId="0" applyNumberFormat="1" applyFont="1" applyFill="1" applyBorder="1" applyAlignment="1">
      <alignment horizontal="right" vertical="center"/>
    </xf>
    <xf numFmtId="3" fontId="17" fillId="6" borderId="40" xfId="0" applyNumberFormat="1" applyFont="1" applyFill="1" applyBorder="1" applyAlignment="1">
      <alignment horizontal="right" vertical="center"/>
    </xf>
    <xf numFmtId="4" fontId="29" fillId="6" borderId="40" xfId="0" applyNumberFormat="1" applyFont="1" applyFill="1" applyBorder="1" applyAlignment="1">
      <alignment horizontal="right" vertical="center"/>
    </xf>
    <xf numFmtId="0" fontId="8" fillId="3" borderId="41" xfId="0" applyFont="1" applyFill="1" applyBorder="1" applyAlignment="1">
      <alignment horizontal="left" vertical="center"/>
    </xf>
    <xf numFmtId="4" fontId="8" fillId="3" borderId="42" xfId="0" applyNumberFormat="1" applyFont="1" applyFill="1" applyBorder="1" applyAlignment="1">
      <alignment horizontal="right" vertical="center"/>
    </xf>
    <xf numFmtId="3" fontId="8" fillId="3" borderId="42" xfId="0" applyNumberFormat="1" applyFont="1" applyFill="1" applyBorder="1" applyAlignment="1">
      <alignment horizontal="right" vertical="center"/>
    </xf>
    <xf numFmtId="0" fontId="10" fillId="6" borderId="43" xfId="0" applyFont="1" applyFill="1" applyBorder="1" applyAlignment="1">
      <alignment horizontal="left" vertical="center"/>
    </xf>
    <xf numFmtId="15" fontId="10" fillId="6" borderId="43" xfId="0" applyNumberFormat="1" applyFont="1" applyFill="1" applyBorder="1" applyAlignment="1">
      <alignment horizontal="left" vertical="center"/>
    </xf>
    <xf numFmtId="3" fontId="10" fillId="6" borderId="43" xfId="0" applyNumberFormat="1" applyFont="1" applyFill="1" applyBorder="1" applyAlignment="1">
      <alignment horizontal="right" vertical="center"/>
    </xf>
    <xf numFmtId="168" fontId="10" fillId="6" borderId="43" xfId="0" applyNumberFormat="1" applyFont="1" applyFill="1" applyBorder="1" applyAlignment="1">
      <alignment horizontal="right" vertical="center"/>
    </xf>
    <xf numFmtId="4" fontId="10" fillId="6" borderId="43" xfId="0" applyNumberFormat="1" applyFont="1" applyFill="1" applyBorder="1" applyAlignment="1">
      <alignment horizontal="right" vertical="center"/>
    </xf>
    <xf numFmtId="3" fontId="17" fillId="6" borderId="43" xfId="0" applyNumberFormat="1" applyFont="1" applyFill="1" applyBorder="1" applyAlignment="1">
      <alignment horizontal="right" vertical="center"/>
    </xf>
    <xf numFmtId="4" fontId="29" fillId="6" borderId="43" xfId="0" applyNumberFormat="1" applyFont="1" applyFill="1" applyBorder="1" applyAlignment="1">
      <alignment horizontal="right" vertical="center"/>
    </xf>
    <xf numFmtId="0" fontId="37" fillId="5" borderId="0" xfId="0" applyFont="1" applyFill="1" applyAlignment="1">
      <alignment horizontal="left"/>
    </xf>
    <xf numFmtId="0" fontId="10" fillId="12" borderId="43" xfId="0" applyFont="1" applyFill="1" applyBorder="1" applyAlignment="1">
      <alignment horizontal="left" vertical="center"/>
    </xf>
    <xf numFmtId="15" fontId="10" fillId="12" borderId="43" xfId="0" applyNumberFormat="1" applyFont="1" applyFill="1" applyBorder="1" applyAlignment="1">
      <alignment horizontal="left" vertical="center"/>
    </xf>
    <xf numFmtId="3" fontId="10" fillId="12" borderId="43" xfId="0" applyNumberFormat="1" applyFont="1" applyFill="1" applyBorder="1" applyAlignment="1">
      <alignment horizontal="right" vertical="center"/>
    </xf>
    <xf numFmtId="168" fontId="10" fillId="12" borderId="43" xfId="0" applyNumberFormat="1" applyFont="1" applyFill="1" applyBorder="1" applyAlignment="1">
      <alignment horizontal="right" vertical="center"/>
    </xf>
    <xf numFmtId="4" fontId="10" fillId="12" borderId="43" xfId="0" applyNumberFormat="1" applyFont="1" applyFill="1" applyBorder="1" applyAlignment="1">
      <alignment horizontal="right" vertical="center"/>
    </xf>
    <xf numFmtId="3" fontId="17" fillId="12" borderId="43" xfId="0" applyNumberFormat="1" applyFont="1" applyFill="1" applyBorder="1" applyAlignment="1">
      <alignment horizontal="right" vertical="center"/>
    </xf>
    <xf numFmtId="4" fontId="29" fillId="12" borderId="43" xfId="0" applyNumberFormat="1" applyFont="1" applyFill="1" applyBorder="1" applyAlignment="1">
      <alignment horizontal="right" vertical="center"/>
    </xf>
    <xf numFmtId="0" fontId="38" fillId="5" borderId="0" xfId="0" applyFont="1" applyFill="1" applyAlignment="1">
      <alignment horizontal="left"/>
    </xf>
    <xf numFmtId="0" fontId="37" fillId="5" borderId="0" xfId="0" applyFont="1" applyFill="1" applyAlignment="1">
      <alignment horizontal="right"/>
    </xf>
    <xf numFmtId="0" fontId="39" fillId="5" borderId="0" xfId="0" applyFont="1" applyFill="1" applyAlignment="1">
      <alignment horizontal="right"/>
    </xf>
    <xf numFmtId="0" fontId="39" fillId="5" borderId="0" xfId="0" applyFont="1" applyFill="1" applyAlignment="1">
      <alignment horizontal="left"/>
    </xf>
    <xf numFmtId="0" fontId="40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3" fillId="3" borderId="33" xfId="0" applyFont="1" applyFill="1" applyBorder="1"/>
    <xf numFmtId="0" fontId="10" fillId="6" borderId="44" xfId="0" applyFont="1" applyFill="1" applyBorder="1" applyAlignment="1">
      <alignment horizontal="left"/>
    </xf>
    <xf numFmtId="169" fontId="11" fillId="7" borderId="44" xfId="0" applyNumberFormat="1" applyFont="1" applyFill="1" applyBorder="1" applyAlignment="1">
      <alignment horizontal="left"/>
    </xf>
    <xf numFmtId="0" fontId="12" fillId="6" borderId="44" xfId="0" applyFont="1" applyFill="1" applyBorder="1" applyAlignment="1">
      <alignment horizontal="right"/>
    </xf>
    <xf numFmtId="164" fontId="41" fillId="6" borderId="44" xfId="0" applyNumberFormat="1" applyFont="1" applyFill="1" applyBorder="1" applyAlignment="1">
      <alignment horizontal="right"/>
    </xf>
    <xf numFmtId="0" fontId="11" fillId="7" borderId="44" xfId="0" applyFont="1" applyFill="1" applyBorder="1" applyAlignment="1">
      <alignment horizontal="left"/>
    </xf>
    <xf numFmtId="164" fontId="42" fillId="6" borderId="44" xfId="0" applyNumberFormat="1" applyFont="1" applyFill="1" applyBorder="1" applyAlignment="1">
      <alignment horizontal="right"/>
    </xf>
    <xf numFmtId="164" fontId="43" fillId="6" borderId="44" xfId="0" applyNumberFormat="1" applyFont="1" applyFill="1" applyBorder="1" applyAlignment="1">
      <alignment horizontal="right"/>
    </xf>
    <xf numFmtId="164" fontId="11" fillId="7" borderId="44" xfId="0" applyNumberFormat="1" applyFont="1" applyFill="1" applyBorder="1" applyAlignment="1">
      <alignment horizontal="left"/>
    </xf>
    <xf numFmtId="0" fontId="21" fillId="3" borderId="0" xfId="0" applyFont="1" applyFill="1"/>
    <xf numFmtId="0" fontId="44" fillId="3" borderId="0" xfId="0" applyFont="1" applyFill="1" applyAlignment="1">
      <alignment horizontal="left"/>
    </xf>
    <xf numFmtId="0" fontId="15" fillId="6" borderId="0" xfId="0" applyFont="1" applyFill="1" applyAlignment="1">
      <alignment horizontal="center"/>
    </xf>
    <xf numFmtId="0" fontId="15" fillId="6" borderId="44" xfId="0" applyFont="1" applyFill="1" applyBorder="1" applyAlignment="1">
      <alignment horizontal="center"/>
    </xf>
    <xf numFmtId="169" fontId="16" fillId="3" borderId="0" xfId="0" applyNumberFormat="1" applyFont="1" applyFill="1" applyAlignment="1">
      <alignment horizontal="center"/>
    </xf>
    <xf numFmtId="0" fontId="16" fillId="3" borderId="0" xfId="0" applyFont="1" applyFill="1"/>
    <xf numFmtId="0" fontId="16" fillId="3" borderId="0" xfId="0" applyFont="1" applyFill="1" applyAlignment="1">
      <alignment horizontal="center"/>
    </xf>
    <xf numFmtId="164" fontId="16" fillId="3" borderId="0" xfId="0" applyNumberFormat="1" applyFont="1" applyFill="1"/>
    <xf numFmtId="0" fontId="10" fillId="3" borderId="0" xfId="0" applyFont="1" applyFill="1"/>
    <xf numFmtId="0" fontId="10" fillId="6" borderId="44" xfId="0" applyFont="1" applyFill="1" applyBorder="1"/>
    <xf numFmtId="164" fontId="10" fillId="6" borderId="44" xfId="0" applyNumberFormat="1" applyFont="1" applyFill="1" applyBorder="1"/>
    <xf numFmtId="164" fontId="29" fillId="6" borderId="44" xfId="0" applyNumberFormat="1" applyFont="1" applyFill="1" applyBorder="1"/>
    <xf numFmtId="164" fontId="45" fillId="6" borderId="44" xfId="0" applyNumberFormat="1" applyFont="1" applyFill="1" applyBorder="1"/>
    <xf numFmtId="167" fontId="10" fillId="6" borderId="44" xfId="0" applyNumberFormat="1" applyFont="1" applyFill="1" applyBorder="1"/>
    <xf numFmtId="0" fontId="17" fillId="7" borderId="44" xfId="0" applyFont="1" applyFill="1" applyBorder="1"/>
    <xf numFmtId="164" fontId="17" fillId="7" borderId="44" xfId="0" applyNumberFormat="1" applyFont="1" applyFill="1" applyBorder="1"/>
    <xf numFmtId="167" fontId="17" fillId="7" borderId="44" xfId="0" applyNumberFormat="1" applyFont="1" applyFill="1" applyBorder="1"/>
    <xf numFmtId="3" fontId="0" fillId="0" borderId="0" xfId="0" applyNumberFormat="1"/>
    <xf numFmtId="14" fontId="0" fillId="0" borderId="0" xfId="0" applyNumberFormat="1"/>
    <xf numFmtId="3" fontId="46" fillId="0" borderId="0" xfId="0" applyNumberFormat="1" applyFont="1"/>
    <xf numFmtId="0" fontId="4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36" fillId="0" borderId="0" xfId="0" applyFont="1"/>
    <xf numFmtId="0" fontId="3" fillId="3" borderId="24" xfId="0" applyFont="1" applyFill="1" applyBorder="1"/>
    <xf numFmtId="0" fontId="15" fillId="7" borderId="26" xfId="0" applyFont="1" applyFill="1" applyBorder="1" applyAlignment="1">
      <alignment horizontal="center" vertical="center" wrapText="1"/>
    </xf>
    <xf numFmtId="0" fontId="15" fillId="7" borderId="32" xfId="0" applyFont="1" applyFill="1" applyBorder="1" applyAlignment="1">
      <alignment horizontal="center" vertical="center" wrapText="1"/>
    </xf>
    <xf numFmtId="10" fontId="48" fillId="7" borderId="45" xfId="0" applyNumberFormat="1" applyFont="1" applyFill="1" applyBorder="1" applyAlignment="1">
      <alignment horizontal="center" vertical="center"/>
    </xf>
    <xf numFmtId="0" fontId="15" fillId="7" borderId="27" xfId="0" applyFont="1" applyFill="1" applyBorder="1" applyAlignment="1">
      <alignment horizontal="center" vertical="center" wrapText="1"/>
    </xf>
    <xf numFmtId="0" fontId="19" fillId="3" borderId="43" xfId="0" applyFont="1" applyFill="1" applyBorder="1" applyAlignment="1">
      <alignment horizontal="center" vertical="center" wrapText="1"/>
    </xf>
    <xf numFmtId="0" fontId="15" fillId="7" borderId="44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left" vertical="center" indent="1"/>
    </xf>
    <xf numFmtId="0" fontId="10" fillId="6" borderId="32" xfId="0" applyFont="1" applyFill="1" applyBorder="1" applyAlignment="1">
      <alignment horizontal="right" vertical="center"/>
    </xf>
    <xf numFmtId="0" fontId="10" fillId="6" borderId="27" xfId="0" applyFont="1" applyFill="1" applyBorder="1" applyAlignment="1">
      <alignment horizontal="center" vertical="center"/>
    </xf>
    <xf numFmtId="10" fontId="29" fillId="3" borderId="46" xfId="0" applyNumberFormat="1" applyFont="1" applyFill="1" applyBorder="1" applyAlignment="1">
      <alignment horizontal="right" vertical="center"/>
    </xf>
    <xf numFmtId="0" fontId="10" fillId="6" borderId="44" xfId="0" applyFont="1" applyFill="1" applyBorder="1" applyAlignment="1">
      <alignment vertical="center"/>
    </xf>
    <xf numFmtId="10" fontId="17" fillId="6" borderId="44" xfId="0" applyNumberFormat="1" applyFont="1" applyFill="1" applyBorder="1" applyAlignment="1">
      <alignment horizontal="right" vertical="center"/>
    </xf>
    <xf numFmtId="0" fontId="10" fillId="6" borderId="34" xfId="0" applyFont="1" applyFill="1" applyBorder="1" applyAlignment="1">
      <alignment horizontal="center" vertical="center"/>
    </xf>
    <xf numFmtId="0" fontId="10" fillId="6" borderId="35" xfId="0" applyFont="1" applyFill="1" applyBorder="1" applyAlignment="1">
      <alignment horizontal="left" vertical="center" indent="1"/>
    </xf>
    <xf numFmtId="0" fontId="10" fillId="6" borderId="35" xfId="0" applyFont="1" applyFill="1" applyBorder="1" applyAlignment="1">
      <alignment horizontal="right" vertical="center"/>
    </xf>
    <xf numFmtId="0" fontId="10" fillId="6" borderId="36" xfId="0" applyFont="1" applyFill="1" applyBorder="1" applyAlignment="1">
      <alignment horizontal="center" vertical="center"/>
    </xf>
    <xf numFmtId="10" fontId="29" fillId="3" borderId="40" xfId="0" applyNumberFormat="1" applyFont="1" applyFill="1" applyBorder="1" applyAlignment="1">
      <alignment horizontal="right" vertical="center"/>
    </xf>
    <xf numFmtId="0" fontId="10" fillId="6" borderId="37" xfId="0" applyFont="1" applyFill="1" applyBorder="1" applyAlignment="1">
      <alignment horizontal="center" vertical="center"/>
    </xf>
    <xf numFmtId="0" fontId="10" fillId="6" borderId="38" xfId="0" applyFont="1" applyFill="1" applyBorder="1" applyAlignment="1">
      <alignment horizontal="left" vertical="center" indent="1"/>
    </xf>
    <xf numFmtId="0" fontId="10" fillId="6" borderId="38" xfId="0" applyFont="1" applyFill="1" applyBorder="1" applyAlignment="1">
      <alignment horizontal="right" vertical="center"/>
    </xf>
    <xf numFmtId="0" fontId="10" fillId="6" borderId="39" xfId="0" applyFont="1" applyFill="1" applyBorder="1" applyAlignment="1">
      <alignment horizontal="center" vertical="center"/>
    </xf>
    <xf numFmtId="0" fontId="15" fillId="7" borderId="44" xfId="0" applyFont="1" applyFill="1" applyBorder="1" applyAlignment="1">
      <alignment vertical="center" indent="1"/>
    </xf>
    <xf numFmtId="0" fontId="49" fillId="7" borderId="0" xfId="0" applyFont="1" applyFill="1"/>
    <xf numFmtId="0" fontId="10" fillId="6" borderId="44" xfId="0" applyFont="1" applyFill="1" applyBorder="1" applyAlignment="1">
      <alignment vertical="center" indent="1"/>
    </xf>
    <xf numFmtId="0" fontId="10" fillId="6" borderId="0" xfId="0" applyFont="1" applyFill="1"/>
    <xf numFmtId="0" fontId="10" fillId="3" borderId="24" xfId="0" applyFont="1" applyFill="1" applyBorder="1" applyAlignment="1">
      <alignment vertical="center"/>
    </xf>
    <xf numFmtId="0" fontId="3" fillId="3" borderId="40" xfId="0" applyFont="1" applyFill="1" applyBorder="1" applyAlignment="1">
      <alignment vertical="center"/>
    </xf>
    <xf numFmtId="0" fontId="10" fillId="6" borderId="40" xfId="0" applyFont="1" applyFill="1" applyBorder="1" applyAlignment="1">
      <alignment vertical="center"/>
    </xf>
    <xf numFmtId="0" fontId="6" fillId="5" borderId="40" xfId="0" applyFont="1" applyFill="1" applyBorder="1" applyAlignment="1">
      <alignment vertical="center"/>
    </xf>
    <xf numFmtId="0" fontId="6" fillId="5" borderId="43" xfId="0" applyFont="1" applyFill="1" applyBorder="1" applyAlignment="1">
      <alignment vertical="center"/>
    </xf>
    <xf numFmtId="0" fontId="50" fillId="5" borderId="0" xfId="0" applyFont="1" applyFill="1"/>
    <xf numFmtId="0" fontId="51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30" fillId="3" borderId="0" xfId="0" applyFont="1" applyFill="1" applyAlignment="1">
      <alignment vertical="center"/>
    </xf>
    <xf numFmtId="0" fontId="52" fillId="5" borderId="0" xfId="0" applyFont="1" applyFill="1" applyAlignment="1">
      <alignment vertical="center"/>
    </xf>
    <xf numFmtId="0" fontId="53" fillId="0" borderId="0" xfId="0" applyFont="1"/>
  </cellXfs>
  <cellStyles count="1">
    <cellStyle name="Normal" xfId="0" builtinId="0"/>
  </cellStyles>
  <dxfs count="1">
    <dxf>
      <fill>
        <patternFill patternType="solid">
          <fgColor indexed="64"/>
          <bgColor rgb="FF12121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3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6.xml"/><Relationship Id="rId9" Type="http://schemas.openxmlformats.org/officeDocument/2006/relationships/worksheet" Target="worksheets/sheet2.xml"/><Relationship Id="rId10" Type="http://schemas.openxmlformats.org/officeDocument/2006/relationships/worksheet" Target="worksheets/sheet14.xml"/><Relationship Id="rId11" Type="http://schemas.openxmlformats.org/officeDocument/2006/relationships/worksheet" Target="worksheets/sheet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Lines" displayName="tblLines" ref="A1:N156" totalsRowShown="1" headerRowCount="0">
  <autoFilter ref="A1:N1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Invoice #"/>
    <tableColumn id="2" name="Invoice Date"/>
    <tableColumn id="3" name="Party (Name)"/>
    <tableColumn id="4" name="Sub Party"/>
    <tableColumn id="5" name="City"/>
    <tableColumn id="6" name="ASM / Salesperson"/>
    <tableColumn id="7" name="Description (Product)"/>
    <tableColumn id="8" name="Qty (Packs)"/>
    <tableColumn id="9" name="Rate 40Kg"/>
    <tableColumn id="10" name="Pack Wt (KG)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Payments" displayName="tblPayments" ref="B20:H220" totalsRowShown="1" headerRowCount="0">
  <autoFilter ref="B20:H2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Date"/>
    <tableColumn id="2" name="Party (Name)"/>
    <tableColumn id="3" name="Sub Party"/>
    <tableColumn id="4" name="Slip No."/>
    <tableColumn id="5" name="Bank"/>
    <tableColumn id="6" name="Amount"/>
    <tableColumn id="7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B341"/>
  </sheetPr>
  <dimension ref="A1:BZ200"/>
  <sheetViews>
    <sheetView workbookViewId="0" showGridLines="0" zoomScale="100" zoomScaleNormal="100">
      <pane ySplit="3" topLeftCell="A4" activePane="bottomLeft" state="frozen"/>
      <selection pane="bottomLeft" activeCell="B48" sqref="B48"/>
    </sheetView>
  </sheetViews>
  <sheetFormatPr defaultRowHeight="14.4" outlineLevelRow="0" outlineLevelCol="0" x14ac:dyDescent="0.3" customHeight="1"/>
  <cols>
    <col min="1" max="1" width="8.33203125" customWidth="1"/>
    <col min="2" max="2" width="45.88671875" customWidth="1"/>
    <col min="3" max="3" width="18.109375" customWidth="1"/>
    <col min="4" max="4" width="15.33203125" customWidth="1"/>
    <col min="5" max="5" width="19.44140625" customWidth="1"/>
    <col min="6" max="6" width="20.88671875" customWidth="1"/>
    <col min="7" max="7" width="15.33203125" customWidth="1"/>
    <col min="8" max="8" width="16.6640625" customWidth="1"/>
    <col min="9" max="9" width="15.33203125" customWidth="1"/>
    <col min="10" max="10" width="16.6640625" customWidth="1"/>
    <col min="11" max="11" width="20.88671875" customWidth="1"/>
  </cols>
  <sheetData>
    <row r="1" ht="25.95" customHeight="1" spans="1:78" x14ac:dyDescent="0.25">
      <c r="A1" s="237" t="s">
        <v>201</v>
      </c>
      <c r="B1" s="238"/>
      <c r="C1" s="238"/>
      <c r="D1" s="238"/>
      <c r="E1" s="238"/>
      <c r="F1" s="238"/>
      <c r="G1" s="238"/>
      <c r="H1" s="238"/>
      <c r="I1" s="3"/>
      <c r="J1" s="3"/>
      <c r="K1" s="3"/>
      <c r="L1" s="3"/>
      <c r="M1" s="3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39"/>
      <c r="BO1" s="239"/>
      <c r="BP1" s="239"/>
      <c r="BQ1" s="239"/>
      <c r="BR1" s="239"/>
      <c r="BS1" s="239"/>
      <c r="BT1" s="239"/>
      <c r="BU1" s="239"/>
      <c r="BV1" s="239"/>
      <c r="BW1" s="239"/>
      <c r="BX1" s="239"/>
      <c r="BY1" s="239"/>
      <c r="BZ1" s="239"/>
    </row>
    <row r="2" ht="7.95" customHeight="1" spans="1:78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240"/>
      <c r="M2" s="3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39"/>
      <c r="BK2" s="239"/>
      <c r="BL2" s="239"/>
      <c r="BM2" s="239"/>
      <c r="BN2" s="239"/>
      <c r="BO2" s="239"/>
      <c r="BP2" s="239"/>
      <c r="BQ2" s="239"/>
      <c r="BR2" s="239"/>
      <c r="BS2" s="239"/>
      <c r="BT2" s="239"/>
      <c r="BU2" s="239"/>
      <c r="BV2" s="239"/>
      <c r="BW2" s="239"/>
      <c r="BX2" s="239"/>
      <c r="BY2" s="239"/>
      <c r="BZ2" s="239"/>
    </row>
    <row r="3" ht="22.05" customHeight="1" spans="1:78" x14ac:dyDescent="0.25">
      <c r="A3" s="241" t="s">
        <v>202</v>
      </c>
      <c r="B3" s="242" t="s">
        <v>203</v>
      </c>
      <c r="C3" s="242" t="s">
        <v>204</v>
      </c>
      <c r="D3" s="242" t="s">
        <v>205</v>
      </c>
      <c r="E3" s="242" t="s">
        <v>206</v>
      </c>
      <c r="F3" s="242" t="s">
        <v>207</v>
      </c>
      <c r="G3" s="243">
        <v>0.0035</v>
      </c>
      <c r="H3" s="244" t="s">
        <v>208</v>
      </c>
      <c r="I3" s="245" t="s">
        <v>209</v>
      </c>
      <c r="J3" s="246" t="s">
        <v>208</v>
      </c>
      <c r="K3" s="246" t="s">
        <v>207</v>
      </c>
      <c r="L3" s="3"/>
      <c r="M3" s="3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</row>
    <row r="4" ht="18" customHeight="1" spans="1:78" x14ac:dyDescent="0.25">
      <c r="A4" s="247">
        <v>1</v>
      </c>
      <c r="B4" s="248" t="s">
        <v>82</v>
      </c>
      <c r="C4" s="249">
        <v>25</v>
      </c>
      <c r="D4" s="249">
        <v>1</v>
      </c>
      <c r="E4" s="249">
        <f t="shared" ref="E4:E47" si="0">C4*D4</f>
        <v>25</v>
      </c>
      <c r="F4" s="115"/>
      <c r="G4" s="115"/>
      <c r="H4" s="250" t="s">
        <v>54</v>
      </c>
      <c r="I4" s="251">
        <f>IFERROR(INDEX($K$4:$K$6,MATCH($H4,$J$4:$J$6,0)),$G$3)</f>
        <v>0.0035</v>
      </c>
      <c r="J4" s="252" t="s">
        <v>54</v>
      </c>
      <c r="K4" s="253">
        <f>$G$3</f>
        <v>0.0035</v>
      </c>
      <c r="L4" s="3"/>
      <c r="M4" s="3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</row>
    <row r="5" ht="18" customHeight="1" spans="1:78" x14ac:dyDescent="0.25">
      <c r="A5" s="254">
        <v>2</v>
      </c>
      <c r="B5" s="255" t="s">
        <v>81</v>
      </c>
      <c r="C5" s="256">
        <v>20</v>
      </c>
      <c r="D5" s="256">
        <v>1</v>
      </c>
      <c r="E5" s="256">
        <f t="shared" si="0"/>
        <v>20</v>
      </c>
      <c r="F5" s="122"/>
      <c r="G5" s="122"/>
      <c r="H5" s="257" t="s">
        <v>54</v>
      </c>
      <c r="I5" s="258">
        <f t="shared" ref="I5:I48" si="1">IFERROR(INDEX($K$4:$K$6,MATCH($H5,$J$4:$J$6,0)),$G$3)</f>
        <v>0.0035</v>
      </c>
      <c r="J5" s="252" t="s">
        <v>55</v>
      </c>
      <c r="K5" s="253">
        <v>0.0035</v>
      </c>
      <c r="L5" s="3"/>
      <c r="M5" s="3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39"/>
      <c r="AU5" s="239"/>
      <c r="AV5" s="239"/>
      <c r="AW5" s="239"/>
      <c r="AX5" s="239"/>
      <c r="AY5" s="239"/>
      <c r="AZ5" s="239"/>
      <c r="BA5" s="239"/>
      <c r="BB5" s="239"/>
      <c r="BC5" s="239"/>
      <c r="BD5" s="239"/>
      <c r="BE5" s="239"/>
      <c r="BF5" s="239"/>
      <c r="BG5" s="239"/>
      <c r="BH5" s="239"/>
      <c r="BI5" s="239"/>
      <c r="BJ5" s="239"/>
      <c r="BK5" s="239"/>
      <c r="BL5" s="239"/>
      <c r="BM5" s="239"/>
      <c r="BN5" s="239"/>
      <c r="BO5" s="239"/>
      <c r="BP5" s="239"/>
      <c r="BQ5" s="239"/>
      <c r="BR5" s="239"/>
      <c r="BS5" s="239"/>
      <c r="BT5" s="239"/>
      <c r="BU5" s="239"/>
      <c r="BV5" s="239"/>
      <c r="BW5" s="239"/>
      <c r="BX5" s="239"/>
      <c r="BY5" s="239"/>
      <c r="BZ5" s="239"/>
    </row>
    <row r="6" ht="18" customHeight="1" spans="1:78" x14ac:dyDescent="0.25">
      <c r="A6" s="254">
        <v>3</v>
      </c>
      <c r="B6" s="255" t="s">
        <v>79</v>
      </c>
      <c r="C6" s="256">
        <v>10</v>
      </c>
      <c r="D6" s="256">
        <v>4</v>
      </c>
      <c r="E6" s="256">
        <f t="shared" si="0"/>
        <v>40</v>
      </c>
      <c r="F6" s="122"/>
      <c r="G6" s="122"/>
      <c r="H6" s="257" t="s">
        <v>54</v>
      </c>
      <c r="I6" s="258">
        <f t="shared" si="1"/>
        <v>0.0035</v>
      </c>
      <c r="J6" s="252" t="s">
        <v>56</v>
      </c>
      <c r="K6" s="253">
        <f>$G$3</f>
        <v>0.0035</v>
      </c>
      <c r="L6" s="3"/>
      <c r="M6" s="3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39"/>
      <c r="BD6" s="239"/>
      <c r="BE6" s="239"/>
      <c r="BF6" s="239"/>
      <c r="BG6" s="239"/>
      <c r="BH6" s="239"/>
      <c r="BI6" s="239"/>
      <c r="BJ6" s="239"/>
      <c r="BK6" s="239"/>
      <c r="BL6" s="239"/>
      <c r="BM6" s="239"/>
      <c r="BN6" s="239"/>
      <c r="BO6" s="239"/>
      <c r="BP6" s="239"/>
      <c r="BQ6" s="239"/>
      <c r="BR6" s="239"/>
      <c r="BS6" s="239"/>
      <c r="BT6" s="239"/>
      <c r="BU6" s="239"/>
      <c r="BV6" s="239"/>
      <c r="BW6" s="239"/>
      <c r="BX6" s="239"/>
      <c r="BY6" s="239"/>
      <c r="BZ6" s="239"/>
    </row>
    <row r="7" ht="18" customHeight="1" spans="1:78" x14ac:dyDescent="0.25">
      <c r="A7" s="254">
        <v>4</v>
      </c>
      <c r="B7" s="255" t="s">
        <v>83</v>
      </c>
      <c r="C7" s="256">
        <v>5</v>
      </c>
      <c r="D7" s="256">
        <v>8</v>
      </c>
      <c r="E7" s="256">
        <f t="shared" si="0"/>
        <v>40</v>
      </c>
      <c r="F7" s="122"/>
      <c r="G7" s="122"/>
      <c r="H7" s="257" t="s">
        <v>54</v>
      </c>
      <c r="I7" s="258">
        <f t="shared" si="1"/>
        <v>0.0035</v>
      </c>
      <c r="J7" s="3"/>
      <c r="K7" s="3"/>
      <c r="L7" s="3"/>
      <c r="M7" s="3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39"/>
      <c r="BD7" s="239"/>
      <c r="BE7" s="239"/>
      <c r="BF7" s="239"/>
      <c r="BG7" s="239"/>
      <c r="BH7" s="239"/>
      <c r="BI7" s="239"/>
      <c r="BJ7" s="239"/>
      <c r="BK7" s="239"/>
      <c r="BL7" s="239"/>
      <c r="BM7" s="239"/>
      <c r="BN7" s="239"/>
      <c r="BO7" s="239"/>
      <c r="BP7" s="239"/>
      <c r="BQ7" s="239"/>
      <c r="BR7" s="239"/>
      <c r="BS7" s="239"/>
      <c r="BT7" s="239"/>
      <c r="BU7" s="239"/>
      <c r="BV7" s="239"/>
      <c r="BW7" s="239"/>
      <c r="BX7" s="239"/>
      <c r="BY7" s="239"/>
      <c r="BZ7" s="239"/>
    </row>
    <row r="8" ht="18" customHeight="1" spans="1:78" x14ac:dyDescent="0.25">
      <c r="A8" s="254">
        <v>5</v>
      </c>
      <c r="B8" s="255" t="s">
        <v>80</v>
      </c>
      <c r="C8" s="256">
        <v>1</v>
      </c>
      <c r="D8" s="256">
        <v>20</v>
      </c>
      <c r="E8" s="256">
        <f t="shared" si="0"/>
        <v>20</v>
      </c>
      <c r="F8" s="122"/>
      <c r="G8" s="122"/>
      <c r="H8" s="257" t="s">
        <v>54</v>
      </c>
      <c r="I8" s="258">
        <f t="shared" si="1"/>
        <v>0.0035</v>
      </c>
      <c r="J8" s="3"/>
      <c r="K8" s="3"/>
      <c r="L8" s="3"/>
      <c r="M8" s="3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39"/>
      <c r="AX8" s="239"/>
      <c r="AY8" s="239"/>
      <c r="AZ8" s="239"/>
      <c r="BA8" s="239"/>
      <c r="BB8" s="239"/>
      <c r="BC8" s="239"/>
      <c r="BD8" s="239"/>
      <c r="BE8" s="239"/>
      <c r="BF8" s="239"/>
      <c r="BG8" s="239"/>
      <c r="BH8" s="239"/>
      <c r="BI8" s="239"/>
      <c r="BJ8" s="239"/>
      <c r="BK8" s="239"/>
      <c r="BL8" s="239"/>
      <c r="BM8" s="239"/>
      <c r="BN8" s="239"/>
      <c r="BO8" s="239"/>
      <c r="BP8" s="239"/>
      <c r="BQ8" s="239"/>
      <c r="BR8" s="239"/>
      <c r="BS8" s="239"/>
      <c r="BT8" s="239"/>
      <c r="BU8" s="239"/>
      <c r="BV8" s="239"/>
      <c r="BW8" s="239"/>
      <c r="BX8" s="239"/>
      <c r="BY8" s="239"/>
      <c r="BZ8" s="239"/>
    </row>
    <row r="9" ht="18" customHeight="1" spans="1:78" x14ac:dyDescent="0.25">
      <c r="A9" s="254">
        <v>6</v>
      </c>
      <c r="B9" s="255" t="s">
        <v>78</v>
      </c>
      <c r="C9" s="256">
        <v>25</v>
      </c>
      <c r="D9" s="256">
        <v>1</v>
      </c>
      <c r="E9" s="256">
        <f t="shared" si="0"/>
        <v>25</v>
      </c>
      <c r="F9" s="122"/>
      <c r="G9" s="122"/>
      <c r="H9" s="257" t="s">
        <v>54</v>
      </c>
      <c r="I9" s="258">
        <f t="shared" si="1"/>
        <v>0.0035</v>
      </c>
      <c r="J9" s="3"/>
      <c r="K9" s="3"/>
      <c r="L9" s="3"/>
      <c r="M9" s="3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39"/>
      <c r="BD9" s="239"/>
      <c r="BE9" s="239"/>
      <c r="BF9" s="239"/>
      <c r="BG9" s="239"/>
      <c r="BH9" s="239"/>
      <c r="BI9" s="239"/>
      <c r="BJ9" s="239"/>
      <c r="BK9" s="239"/>
      <c r="BL9" s="239"/>
      <c r="BM9" s="239"/>
      <c r="BN9" s="239"/>
      <c r="BO9" s="239"/>
      <c r="BP9" s="239"/>
      <c r="BQ9" s="239"/>
      <c r="BR9" s="239"/>
      <c r="BS9" s="239"/>
      <c r="BT9" s="239"/>
      <c r="BU9" s="239"/>
      <c r="BV9" s="239"/>
      <c r="BW9" s="239"/>
      <c r="BX9" s="239"/>
      <c r="BY9" s="239"/>
      <c r="BZ9" s="239"/>
    </row>
    <row r="10" ht="18" customHeight="1" spans="1:78" x14ac:dyDescent="0.25">
      <c r="A10" s="254">
        <v>7</v>
      </c>
      <c r="B10" s="255" t="s">
        <v>210</v>
      </c>
      <c r="C10" s="256">
        <v>5</v>
      </c>
      <c r="D10" s="256">
        <v>8</v>
      </c>
      <c r="E10" s="256">
        <f t="shared" si="0"/>
        <v>40</v>
      </c>
      <c r="F10" s="122"/>
      <c r="G10" s="122"/>
      <c r="H10" s="257" t="s">
        <v>54</v>
      </c>
      <c r="I10" s="258">
        <f t="shared" si="1"/>
        <v>0.0035</v>
      </c>
      <c r="J10" s="3"/>
      <c r="K10" s="3"/>
      <c r="L10" s="3"/>
      <c r="M10" s="3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  <c r="AT10" s="239"/>
      <c r="AU10" s="239"/>
      <c r="AV10" s="239"/>
      <c r="AW10" s="239"/>
      <c r="AX10" s="239"/>
      <c r="AY10" s="239"/>
      <c r="AZ10" s="239"/>
      <c r="BA10" s="239"/>
      <c r="BB10" s="239"/>
      <c r="BC10" s="239"/>
      <c r="BD10" s="239"/>
      <c r="BE10" s="239"/>
      <c r="BF10" s="239"/>
      <c r="BG10" s="239"/>
      <c r="BH10" s="239"/>
      <c r="BI10" s="239"/>
      <c r="BJ10" s="239"/>
      <c r="BK10" s="239"/>
      <c r="BL10" s="239"/>
      <c r="BM10" s="239"/>
      <c r="BN10" s="239"/>
      <c r="BO10" s="239"/>
      <c r="BP10" s="239"/>
      <c r="BQ10" s="239"/>
      <c r="BR10" s="239"/>
      <c r="BS10" s="239"/>
      <c r="BT10" s="239"/>
      <c r="BU10" s="239"/>
      <c r="BV10" s="239"/>
      <c r="BW10" s="239"/>
      <c r="BX10" s="239"/>
      <c r="BY10" s="239"/>
      <c r="BZ10" s="239"/>
    </row>
    <row r="11" ht="18" customHeight="1" spans="1:78" x14ac:dyDescent="0.25">
      <c r="A11" s="254">
        <v>8</v>
      </c>
      <c r="B11" s="255" t="s">
        <v>84</v>
      </c>
      <c r="C11" s="256">
        <v>25</v>
      </c>
      <c r="D11" s="256">
        <v>1</v>
      </c>
      <c r="E11" s="256">
        <f t="shared" si="0"/>
        <v>25</v>
      </c>
      <c r="F11" s="122"/>
      <c r="G11" s="122"/>
      <c r="H11" s="257" t="s">
        <v>54</v>
      </c>
      <c r="I11" s="258">
        <f t="shared" si="1"/>
        <v>0.0035</v>
      </c>
      <c r="J11" s="3"/>
      <c r="K11" s="3"/>
      <c r="L11" s="3"/>
      <c r="M11" s="3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  <c r="AA11" s="239"/>
      <c r="AB11" s="239"/>
      <c r="AC11" s="239"/>
      <c r="AD11" s="239"/>
      <c r="AE11" s="239"/>
      <c r="AF11" s="239"/>
      <c r="AG11" s="239"/>
      <c r="AH11" s="239"/>
      <c r="AI11" s="239"/>
      <c r="AJ11" s="239"/>
      <c r="AK11" s="239"/>
      <c r="AL11" s="239"/>
      <c r="AM11" s="239"/>
      <c r="AN11" s="239"/>
      <c r="AO11" s="239"/>
      <c r="AP11" s="239"/>
      <c r="AQ11" s="239"/>
      <c r="AR11" s="239"/>
      <c r="AS11" s="239"/>
      <c r="AT11" s="239"/>
      <c r="AU11" s="239"/>
      <c r="AV11" s="239"/>
      <c r="AW11" s="239"/>
      <c r="AX11" s="239"/>
      <c r="AY11" s="239"/>
      <c r="AZ11" s="239"/>
      <c r="BA11" s="239"/>
      <c r="BB11" s="239"/>
      <c r="BC11" s="239"/>
      <c r="BD11" s="239"/>
      <c r="BE11" s="239"/>
      <c r="BF11" s="239"/>
      <c r="BG11" s="239"/>
      <c r="BH11" s="239"/>
      <c r="BI11" s="239"/>
      <c r="BJ11" s="239"/>
      <c r="BK11" s="239"/>
      <c r="BL11" s="239"/>
      <c r="BM11" s="239"/>
      <c r="BN11" s="239"/>
      <c r="BO11" s="239"/>
      <c r="BP11" s="239"/>
      <c r="BQ11" s="239"/>
      <c r="BR11" s="239"/>
      <c r="BS11" s="239"/>
      <c r="BT11" s="239"/>
      <c r="BU11" s="239"/>
      <c r="BV11" s="239"/>
      <c r="BW11" s="239"/>
      <c r="BX11" s="239"/>
      <c r="BY11" s="239"/>
      <c r="BZ11" s="239"/>
    </row>
    <row r="12" ht="18" customHeight="1" spans="1:78" x14ac:dyDescent="0.25">
      <c r="A12" s="254">
        <v>9</v>
      </c>
      <c r="B12" s="255" t="s">
        <v>77</v>
      </c>
      <c r="C12" s="256">
        <v>25</v>
      </c>
      <c r="D12" s="256">
        <v>1</v>
      </c>
      <c r="E12" s="256">
        <f t="shared" si="0"/>
        <v>25</v>
      </c>
      <c r="F12" s="122"/>
      <c r="G12" s="122"/>
      <c r="H12" s="257" t="s">
        <v>54</v>
      </c>
      <c r="I12" s="258">
        <f t="shared" si="1"/>
        <v>0.0035</v>
      </c>
      <c r="J12" s="3"/>
      <c r="K12" s="3"/>
      <c r="L12" s="3"/>
      <c r="M12" s="3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239"/>
      <c r="BS12" s="239"/>
      <c r="BT12" s="239"/>
      <c r="BU12" s="239"/>
      <c r="BV12" s="239"/>
      <c r="BW12" s="239"/>
      <c r="BX12" s="239"/>
      <c r="BY12" s="239"/>
      <c r="BZ12" s="239"/>
    </row>
    <row r="13" ht="18" customHeight="1" spans="1:78" x14ac:dyDescent="0.25">
      <c r="A13" s="254">
        <v>10</v>
      </c>
      <c r="B13" s="255" t="s">
        <v>211</v>
      </c>
      <c r="C13" s="256">
        <v>5</v>
      </c>
      <c r="D13" s="256">
        <v>8</v>
      </c>
      <c r="E13" s="256">
        <f t="shared" si="0"/>
        <v>40</v>
      </c>
      <c r="F13" s="122"/>
      <c r="G13" s="122"/>
      <c r="H13" s="257" t="s">
        <v>54</v>
      </c>
      <c r="I13" s="258">
        <f t="shared" si="1"/>
        <v>0.0035</v>
      </c>
      <c r="J13" s="3"/>
      <c r="K13" s="3"/>
      <c r="L13" s="3"/>
      <c r="M13" s="3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39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39"/>
      <c r="BL13" s="239"/>
      <c r="BM13" s="239"/>
      <c r="BN13" s="239"/>
      <c r="BO13" s="239"/>
      <c r="BP13" s="239"/>
      <c r="BQ13" s="239"/>
      <c r="BR13" s="239"/>
      <c r="BS13" s="239"/>
      <c r="BT13" s="239"/>
      <c r="BU13" s="239"/>
      <c r="BV13" s="239"/>
      <c r="BW13" s="239"/>
      <c r="BX13" s="239"/>
      <c r="BY13" s="239"/>
      <c r="BZ13" s="239"/>
    </row>
    <row r="14" ht="18" customHeight="1" spans="1:78" x14ac:dyDescent="0.25">
      <c r="A14" s="254">
        <v>11</v>
      </c>
      <c r="B14" s="255" t="s">
        <v>72</v>
      </c>
      <c r="C14" s="256">
        <v>25</v>
      </c>
      <c r="D14" s="256">
        <v>1</v>
      </c>
      <c r="E14" s="256">
        <f t="shared" si="0"/>
        <v>25</v>
      </c>
      <c r="F14" s="122"/>
      <c r="G14" s="122"/>
      <c r="H14" s="257" t="s">
        <v>54</v>
      </c>
      <c r="I14" s="258">
        <f t="shared" si="1"/>
        <v>0.0035</v>
      </c>
      <c r="J14" s="3"/>
      <c r="K14" s="3"/>
      <c r="L14" s="3"/>
      <c r="M14" s="3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9"/>
      <c r="AM14" s="239"/>
      <c r="AN14" s="239"/>
      <c r="AO14" s="239"/>
      <c r="AP14" s="239"/>
      <c r="AQ14" s="239"/>
      <c r="AR14" s="239"/>
      <c r="AS14" s="239"/>
      <c r="AT14" s="239"/>
      <c r="AU14" s="239"/>
      <c r="AV14" s="239"/>
      <c r="AW14" s="239"/>
      <c r="AX14" s="239"/>
      <c r="AY14" s="239"/>
      <c r="AZ14" s="239"/>
      <c r="BA14" s="239"/>
      <c r="BB14" s="239"/>
      <c r="BC14" s="239"/>
      <c r="BD14" s="239"/>
      <c r="BE14" s="239"/>
      <c r="BF14" s="239"/>
      <c r="BG14" s="239"/>
      <c r="BH14" s="239"/>
      <c r="BI14" s="239"/>
      <c r="BJ14" s="239"/>
      <c r="BK14" s="239"/>
      <c r="BL14" s="239"/>
      <c r="BM14" s="239"/>
      <c r="BN14" s="239"/>
      <c r="BO14" s="239"/>
      <c r="BP14" s="239"/>
      <c r="BQ14" s="239"/>
      <c r="BR14" s="239"/>
      <c r="BS14" s="239"/>
      <c r="BT14" s="239"/>
      <c r="BU14" s="239"/>
      <c r="BV14" s="239"/>
      <c r="BW14" s="239"/>
      <c r="BX14" s="239"/>
      <c r="BY14" s="239"/>
      <c r="BZ14" s="239"/>
    </row>
    <row r="15" ht="18" customHeight="1" spans="1:78" x14ac:dyDescent="0.25">
      <c r="A15" s="254">
        <v>12</v>
      </c>
      <c r="B15" s="255" t="s">
        <v>212</v>
      </c>
      <c r="C15" s="256">
        <v>10</v>
      </c>
      <c r="D15" s="256">
        <v>4</v>
      </c>
      <c r="E15" s="256">
        <f t="shared" si="0"/>
        <v>40</v>
      </c>
      <c r="F15" s="122"/>
      <c r="G15" s="122"/>
      <c r="H15" s="257" t="s">
        <v>54</v>
      </c>
      <c r="I15" s="258">
        <f t="shared" si="1"/>
        <v>0.0035</v>
      </c>
      <c r="J15" s="3"/>
      <c r="K15" s="3"/>
      <c r="L15" s="3"/>
      <c r="M15" s="3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39"/>
      <c r="BL15" s="239"/>
      <c r="BM15" s="239"/>
      <c r="BN15" s="239"/>
      <c r="BO15" s="239"/>
      <c r="BP15" s="239"/>
      <c r="BQ15" s="239"/>
      <c r="BR15" s="239"/>
      <c r="BS15" s="239"/>
      <c r="BT15" s="239"/>
      <c r="BU15" s="239"/>
      <c r="BV15" s="239"/>
      <c r="BW15" s="239"/>
      <c r="BX15" s="239"/>
      <c r="BY15" s="239"/>
      <c r="BZ15" s="239"/>
    </row>
    <row r="16" ht="18" customHeight="1" spans="1:78" x14ac:dyDescent="0.25">
      <c r="A16" s="254">
        <v>13</v>
      </c>
      <c r="B16" s="255" t="s">
        <v>73</v>
      </c>
      <c r="C16" s="256">
        <v>5</v>
      </c>
      <c r="D16" s="256">
        <v>8</v>
      </c>
      <c r="E16" s="256">
        <f t="shared" si="0"/>
        <v>40</v>
      </c>
      <c r="F16" s="122"/>
      <c r="G16" s="122"/>
      <c r="H16" s="257" t="s">
        <v>54</v>
      </c>
      <c r="I16" s="258">
        <f t="shared" si="1"/>
        <v>0.0035</v>
      </c>
      <c r="J16" s="3"/>
      <c r="K16" s="3"/>
      <c r="L16" s="3"/>
      <c r="M16" s="3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  <c r="AU16" s="239"/>
      <c r="AV16" s="239"/>
      <c r="AW16" s="239"/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39"/>
      <c r="BK16" s="239"/>
      <c r="BL16" s="239"/>
      <c r="BM16" s="239"/>
      <c r="BN16" s="239"/>
      <c r="BO16" s="239"/>
      <c r="BP16" s="239"/>
      <c r="BQ16" s="239"/>
      <c r="BR16" s="239"/>
      <c r="BS16" s="239"/>
      <c r="BT16" s="239"/>
      <c r="BU16" s="239"/>
      <c r="BV16" s="239"/>
      <c r="BW16" s="239"/>
      <c r="BX16" s="239"/>
      <c r="BY16" s="239"/>
      <c r="BZ16" s="239"/>
    </row>
    <row r="17" ht="18" customHeight="1" spans="1:78" x14ac:dyDescent="0.25">
      <c r="A17" s="254">
        <v>14</v>
      </c>
      <c r="B17" s="255" t="s">
        <v>213</v>
      </c>
      <c r="C17" s="256">
        <v>25</v>
      </c>
      <c r="D17" s="256">
        <v>1</v>
      </c>
      <c r="E17" s="256">
        <f t="shared" si="0"/>
        <v>25</v>
      </c>
      <c r="F17" s="122"/>
      <c r="G17" s="122"/>
      <c r="H17" s="257" t="s">
        <v>54</v>
      </c>
      <c r="I17" s="258">
        <f t="shared" si="1"/>
        <v>0.0035</v>
      </c>
      <c r="J17" s="3"/>
      <c r="K17" s="3"/>
      <c r="L17" s="3"/>
      <c r="M17" s="3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  <c r="AU17" s="239"/>
      <c r="AV17" s="239"/>
      <c r="AW17" s="239"/>
      <c r="AX17" s="239"/>
      <c r="AY17" s="239"/>
      <c r="AZ17" s="239"/>
      <c r="BA17" s="239"/>
      <c r="BB17" s="239"/>
      <c r="BC17" s="239"/>
      <c r="BD17" s="239"/>
      <c r="BE17" s="239"/>
      <c r="BF17" s="239"/>
      <c r="BG17" s="239"/>
      <c r="BH17" s="239"/>
      <c r="BI17" s="239"/>
      <c r="BJ17" s="239"/>
      <c r="BK17" s="239"/>
      <c r="BL17" s="239"/>
      <c r="BM17" s="239"/>
      <c r="BN17" s="239"/>
      <c r="BO17" s="239"/>
      <c r="BP17" s="239"/>
      <c r="BQ17" s="239"/>
      <c r="BR17" s="239"/>
      <c r="BS17" s="239"/>
      <c r="BT17" s="239"/>
      <c r="BU17" s="239"/>
      <c r="BV17" s="239"/>
      <c r="BW17" s="239"/>
      <c r="BX17" s="239"/>
      <c r="BY17" s="239"/>
      <c r="BZ17" s="239"/>
    </row>
    <row r="18" ht="18" customHeight="1" spans="1:78" x14ac:dyDescent="0.25">
      <c r="A18" s="254">
        <v>15</v>
      </c>
      <c r="B18" s="255" t="s">
        <v>86</v>
      </c>
      <c r="C18" s="256">
        <v>25</v>
      </c>
      <c r="D18" s="256">
        <v>1</v>
      </c>
      <c r="E18" s="256">
        <f t="shared" si="0"/>
        <v>25</v>
      </c>
      <c r="F18" s="122"/>
      <c r="G18" s="122"/>
      <c r="H18" s="257" t="s">
        <v>54</v>
      </c>
      <c r="I18" s="258">
        <f t="shared" si="1"/>
        <v>0.0035</v>
      </c>
      <c r="J18" s="3"/>
      <c r="K18" s="3"/>
      <c r="L18" s="3"/>
      <c r="M18" s="3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  <c r="BH18" s="239"/>
      <c r="BI18" s="239"/>
      <c r="BJ18" s="239"/>
      <c r="BK18" s="239"/>
      <c r="BL18" s="239"/>
      <c r="BM18" s="239"/>
      <c r="BN18" s="239"/>
      <c r="BO18" s="239"/>
      <c r="BP18" s="239"/>
      <c r="BQ18" s="239"/>
      <c r="BR18" s="239"/>
      <c r="BS18" s="239"/>
      <c r="BT18" s="239"/>
      <c r="BU18" s="239"/>
      <c r="BV18" s="239"/>
      <c r="BW18" s="239"/>
      <c r="BX18" s="239"/>
      <c r="BY18" s="239"/>
      <c r="BZ18" s="239"/>
    </row>
    <row r="19" ht="18" customHeight="1" spans="1:78" x14ac:dyDescent="0.25">
      <c r="A19" s="254">
        <v>16</v>
      </c>
      <c r="B19" s="255" t="s">
        <v>85</v>
      </c>
      <c r="C19" s="256">
        <v>10</v>
      </c>
      <c r="D19" s="256">
        <v>4</v>
      </c>
      <c r="E19" s="256">
        <f t="shared" si="0"/>
        <v>40</v>
      </c>
      <c r="F19" s="122"/>
      <c r="G19" s="122"/>
      <c r="H19" s="257" t="s">
        <v>54</v>
      </c>
      <c r="I19" s="258">
        <f t="shared" si="1"/>
        <v>0.0035</v>
      </c>
      <c r="J19" s="3"/>
      <c r="K19" s="3"/>
      <c r="L19" s="3"/>
      <c r="M19" s="3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239"/>
      <c r="AP19" s="239"/>
      <c r="AQ19" s="239"/>
      <c r="AR19" s="239"/>
      <c r="AS19" s="239"/>
      <c r="AT19" s="239"/>
      <c r="AU19" s="239"/>
      <c r="AV19" s="239"/>
      <c r="AW19" s="239"/>
      <c r="AX19" s="239"/>
      <c r="AY19" s="239"/>
      <c r="AZ19" s="239"/>
      <c r="BA19" s="239"/>
      <c r="BB19" s="239"/>
      <c r="BC19" s="239"/>
      <c r="BD19" s="239"/>
      <c r="BE19" s="239"/>
      <c r="BF19" s="239"/>
      <c r="BG19" s="239"/>
      <c r="BH19" s="239"/>
      <c r="BI19" s="239"/>
      <c r="BJ19" s="239"/>
      <c r="BK19" s="239"/>
      <c r="BL19" s="239"/>
      <c r="BM19" s="239"/>
      <c r="BN19" s="239"/>
      <c r="BO19" s="239"/>
      <c r="BP19" s="239"/>
      <c r="BQ19" s="239"/>
      <c r="BR19" s="239"/>
      <c r="BS19" s="239"/>
      <c r="BT19" s="239"/>
      <c r="BU19" s="239"/>
      <c r="BV19" s="239"/>
      <c r="BW19" s="239"/>
      <c r="BX19" s="239"/>
      <c r="BY19" s="239"/>
      <c r="BZ19" s="239"/>
    </row>
    <row r="20" ht="18" customHeight="1" spans="1:78" x14ac:dyDescent="0.25">
      <c r="A20" s="254">
        <v>17</v>
      </c>
      <c r="B20" s="255" t="s">
        <v>87</v>
      </c>
      <c r="C20" s="256">
        <v>5</v>
      </c>
      <c r="D20" s="256">
        <v>8</v>
      </c>
      <c r="E20" s="256">
        <f t="shared" si="0"/>
        <v>40</v>
      </c>
      <c r="F20" s="122"/>
      <c r="G20" s="122"/>
      <c r="H20" s="257" t="s">
        <v>54</v>
      </c>
      <c r="I20" s="258">
        <f t="shared" si="1"/>
        <v>0.0035</v>
      </c>
      <c r="J20" s="3"/>
      <c r="K20" s="3"/>
      <c r="L20" s="3"/>
      <c r="M20" s="3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  <c r="AB20" s="239"/>
      <c r="AC20" s="239"/>
      <c r="AD20" s="239"/>
      <c r="AE20" s="239"/>
      <c r="AF20" s="239"/>
      <c r="AG20" s="239"/>
      <c r="AH20" s="239"/>
      <c r="AI20" s="239"/>
      <c r="AJ20" s="239"/>
      <c r="AK20" s="239"/>
      <c r="AL20" s="239"/>
      <c r="AM20" s="239"/>
      <c r="AN20" s="239"/>
      <c r="AO20" s="239"/>
      <c r="AP20" s="239"/>
      <c r="AQ20" s="239"/>
      <c r="AR20" s="239"/>
      <c r="AS20" s="239"/>
      <c r="AT20" s="239"/>
      <c r="AU20" s="239"/>
      <c r="AV20" s="239"/>
      <c r="AW20" s="239"/>
      <c r="AX20" s="239"/>
      <c r="AY20" s="239"/>
      <c r="AZ20" s="239"/>
      <c r="BA20" s="239"/>
      <c r="BB20" s="239"/>
      <c r="BC20" s="239"/>
      <c r="BD20" s="239"/>
      <c r="BE20" s="239"/>
      <c r="BF20" s="239"/>
      <c r="BG20" s="239"/>
      <c r="BH20" s="239"/>
      <c r="BI20" s="239"/>
      <c r="BJ20" s="239"/>
      <c r="BK20" s="239"/>
      <c r="BL20" s="239"/>
      <c r="BM20" s="239"/>
      <c r="BN20" s="239"/>
      <c r="BO20" s="239"/>
      <c r="BP20" s="239"/>
      <c r="BQ20" s="239"/>
      <c r="BR20" s="239"/>
      <c r="BS20" s="239"/>
      <c r="BT20" s="239"/>
      <c r="BU20" s="239"/>
      <c r="BV20" s="239"/>
      <c r="BW20" s="239"/>
      <c r="BX20" s="239"/>
      <c r="BY20" s="239"/>
      <c r="BZ20" s="239"/>
    </row>
    <row r="21" ht="18" customHeight="1" spans="1:78" x14ac:dyDescent="0.25">
      <c r="A21" s="254">
        <v>18</v>
      </c>
      <c r="B21" s="255" t="s">
        <v>74</v>
      </c>
      <c r="C21" s="256">
        <v>25</v>
      </c>
      <c r="D21" s="256">
        <v>1</v>
      </c>
      <c r="E21" s="256">
        <f t="shared" si="0"/>
        <v>25</v>
      </c>
      <c r="F21" s="122"/>
      <c r="G21" s="122"/>
      <c r="H21" s="257" t="s">
        <v>54</v>
      </c>
      <c r="I21" s="258">
        <f t="shared" si="1"/>
        <v>0.0035</v>
      </c>
      <c r="J21" s="3"/>
      <c r="K21" s="3"/>
      <c r="L21" s="3"/>
      <c r="M21" s="3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39"/>
      <c r="AM21" s="239"/>
      <c r="AN21" s="239"/>
      <c r="AO21" s="239"/>
      <c r="AP21" s="239"/>
      <c r="AQ21" s="239"/>
      <c r="AR21" s="239"/>
      <c r="AS21" s="239"/>
      <c r="AT21" s="239"/>
      <c r="AU21" s="239"/>
      <c r="AV21" s="239"/>
      <c r="AW21" s="239"/>
      <c r="AX21" s="239"/>
      <c r="AY21" s="239"/>
      <c r="AZ21" s="239"/>
      <c r="BA21" s="239"/>
      <c r="BB21" s="239"/>
      <c r="BC21" s="239"/>
      <c r="BD21" s="239"/>
      <c r="BE21" s="239"/>
      <c r="BF21" s="239"/>
      <c r="BG21" s="239"/>
      <c r="BH21" s="239"/>
      <c r="BI21" s="239"/>
      <c r="BJ21" s="239"/>
      <c r="BK21" s="239"/>
      <c r="BL21" s="239"/>
      <c r="BM21" s="239"/>
      <c r="BN21" s="239"/>
      <c r="BO21" s="239"/>
      <c r="BP21" s="239"/>
      <c r="BQ21" s="239"/>
      <c r="BR21" s="239"/>
      <c r="BS21" s="239"/>
      <c r="BT21" s="239"/>
      <c r="BU21" s="239"/>
      <c r="BV21" s="239"/>
      <c r="BW21" s="239"/>
      <c r="BX21" s="239"/>
      <c r="BY21" s="239"/>
      <c r="BZ21" s="239"/>
    </row>
    <row r="22" ht="18" customHeight="1" spans="1:78" x14ac:dyDescent="0.25">
      <c r="A22" s="254">
        <v>19</v>
      </c>
      <c r="B22" s="255" t="s">
        <v>214</v>
      </c>
      <c r="C22" s="256">
        <v>10</v>
      </c>
      <c r="D22" s="256">
        <v>4</v>
      </c>
      <c r="E22" s="256">
        <f t="shared" si="0"/>
        <v>40</v>
      </c>
      <c r="F22" s="122"/>
      <c r="G22" s="122"/>
      <c r="H22" s="257" t="s">
        <v>54</v>
      </c>
      <c r="I22" s="258">
        <f t="shared" si="1"/>
        <v>0.0035</v>
      </c>
      <c r="J22" s="3"/>
      <c r="K22" s="3"/>
      <c r="L22" s="3"/>
      <c r="M22" s="3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/>
      <c r="AP22" s="239"/>
      <c r="AQ22" s="239"/>
      <c r="AR22" s="239"/>
      <c r="AS22" s="239"/>
      <c r="AT22" s="239"/>
      <c r="AU22" s="239"/>
      <c r="AV22" s="239"/>
      <c r="AW22" s="239"/>
      <c r="AX22" s="239"/>
      <c r="AY22" s="239"/>
      <c r="AZ22" s="239"/>
      <c r="BA22" s="239"/>
      <c r="BB22" s="239"/>
      <c r="BC22" s="239"/>
      <c r="BD22" s="239"/>
      <c r="BE22" s="239"/>
      <c r="BF22" s="239"/>
      <c r="BG22" s="239"/>
      <c r="BH22" s="239"/>
      <c r="BI22" s="239"/>
      <c r="BJ22" s="239"/>
      <c r="BK22" s="239"/>
      <c r="BL22" s="239"/>
      <c r="BM22" s="239"/>
      <c r="BN22" s="239"/>
      <c r="BO22" s="239"/>
      <c r="BP22" s="239"/>
      <c r="BQ22" s="239"/>
      <c r="BR22" s="239"/>
      <c r="BS22" s="239"/>
      <c r="BT22" s="239"/>
      <c r="BU22" s="239"/>
      <c r="BV22" s="239"/>
      <c r="BW22" s="239"/>
      <c r="BX22" s="239"/>
      <c r="BY22" s="239"/>
      <c r="BZ22" s="239"/>
    </row>
    <row r="23" ht="18" customHeight="1" spans="1:78" x14ac:dyDescent="0.25">
      <c r="A23" s="254">
        <v>20</v>
      </c>
      <c r="B23" s="255" t="s">
        <v>75</v>
      </c>
      <c r="C23" s="256">
        <v>5</v>
      </c>
      <c r="D23" s="256">
        <v>8</v>
      </c>
      <c r="E23" s="256">
        <f t="shared" si="0"/>
        <v>40</v>
      </c>
      <c r="F23" s="122"/>
      <c r="G23" s="122"/>
      <c r="H23" s="257" t="s">
        <v>54</v>
      </c>
      <c r="I23" s="258">
        <f t="shared" si="1"/>
        <v>0.0035</v>
      </c>
      <c r="J23" s="3"/>
      <c r="K23" s="3"/>
      <c r="L23" s="3"/>
      <c r="M23" s="3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  <c r="AM23" s="239"/>
      <c r="AN23" s="239"/>
      <c r="AO23" s="239"/>
      <c r="AP23" s="239"/>
      <c r="AQ23" s="239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39"/>
      <c r="BK23" s="239"/>
      <c r="BL23" s="239"/>
      <c r="BM23" s="239"/>
      <c r="BN23" s="239"/>
      <c r="BO23" s="239"/>
      <c r="BP23" s="239"/>
      <c r="BQ23" s="239"/>
      <c r="BR23" s="239"/>
      <c r="BS23" s="239"/>
      <c r="BT23" s="239"/>
      <c r="BU23" s="239"/>
      <c r="BV23" s="239"/>
      <c r="BW23" s="239"/>
      <c r="BX23" s="239"/>
      <c r="BY23" s="239"/>
      <c r="BZ23" s="239"/>
    </row>
    <row r="24" ht="18" customHeight="1" spans="1:78" x14ac:dyDescent="0.25">
      <c r="A24" s="254">
        <v>21</v>
      </c>
      <c r="B24" s="255" t="s">
        <v>76</v>
      </c>
      <c r="C24" s="256">
        <v>25</v>
      </c>
      <c r="D24" s="256">
        <v>1</v>
      </c>
      <c r="E24" s="256">
        <f t="shared" si="0"/>
        <v>25</v>
      </c>
      <c r="F24" s="122"/>
      <c r="G24" s="122"/>
      <c r="H24" s="257" t="s">
        <v>54</v>
      </c>
      <c r="I24" s="258">
        <f t="shared" si="1"/>
        <v>0.0035</v>
      </c>
      <c r="J24" s="3"/>
      <c r="K24" s="3"/>
      <c r="L24" s="3"/>
      <c r="M24" s="3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39"/>
      <c r="BK24" s="239"/>
      <c r="BL24" s="239"/>
      <c r="BM24" s="239"/>
      <c r="BN24" s="239"/>
      <c r="BO24" s="239"/>
      <c r="BP24" s="239"/>
      <c r="BQ24" s="239"/>
      <c r="BR24" s="239"/>
      <c r="BS24" s="239"/>
      <c r="BT24" s="239"/>
      <c r="BU24" s="239"/>
      <c r="BV24" s="239"/>
      <c r="BW24" s="239"/>
      <c r="BX24" s="239"/>
      <c r="BY24" s="239"/>
      <c r="BZ24" s="239"/>
    </row>
    <row r="25" ht="18" customHeight="1" spans="1:78" x14ac:dyDescent="0.25">
      <c r="A25" s="254">
        <v>22</v>
      </c>
      <c r="B25" s="255" t="s">
        <v>215</v>
      </c>
      <c r="C25" s="256">
        <v>10</v>
      </c>
      <c r="D25" s="256">
        <v>4</v>
      </c>
      <c r="E25" s="256">
        <f t="shared" si="0"/>
        <v>40</v>
      </c>
      <c r="F25" s="122"/>
      <c r="G25" s="122"/>
      <c r="H25" s="257" t="s">
        <v>54</v>
      </c>
      <c r="I25" s="258">
        <f t="shared" si="1"/>
        <v>0.0035</v>
      </c>
      <c r="J25" s="3"/>
      <c r="K25" s="3"/>
      <c r="L25" s="3"/>
      <c r="M25" s="3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39"/>
      <c r="AK25" s="239"/>
      <c r="AL25" s="239"/>
      <c r="AM25" s="239"/>
      <c r="AN25" s="239"/>
      <c r="AO25" s="239"/>
      <c r="AP25" s="239"/>
      <c r="AQ25" s="239"/>
      <c r="AR25" s="239"/>
      <c r="AS25" s="239"/>
      <c r="AT25" s="239"/>
      <c r="AU25" s="239"/>
      <c r="AV25" s="239"/>
      <c r="AW25" s="239"/>
      <c r="AX25" s="239"/>
      <c r="AY25" s="239"/>
      <c r="AZ25" s="239"/>
      <c r="BA25" s="239"/>
      <c r="BB25" s="239"/>
      <c r="BC25" s="239"/>
      <c r="BD25" s="239"/>
      <c r="BE25" s="239"/>
      <c r="BF25" s="239"/>
      <c r="BG25" s="239"/>
      <c r="BH25" s="239"/>
      <c r="BI25" s="239"/>
      <c r="BJ25" s="239"/>
      <c r="BK25" s="239"/>
      <c r="BL25" s="239"/>
      <c r="BM25" s="239"/>
      <c r="BN25" s="239"/>
      <c r="BO25" s="239"/>
      <c r="BP25" s="239"/>
      <c r="BQ25" s="239"/>
      <c r="BR25" s="239"/>
      <c r="BS25" s="239"/>
      <c r="BT25" s="239"/>
      <c r="BU25" s="239"/>
      <c r="BV25" s="239"/>
      <c r="BW25" s="239"/>
      <c r="BX25" s="239"/>
      <c r="BY25" s="239"/>
      <c r="BZ25" s="239"/>
    </row>
    <row r="26" ht="18" customHeight="1" spans="1:78" x14ac:dyDescent="0.25">
      <c r="A26" s="254">
        <v>23</v>
      </c>
      <c r="B26" s="255" t="s">
        <v>216</v>
      </c>
      <c r="C26" s="256">
        <v>5</v>
      </c>
      <c r="D26" s="256">
        <v>8</v>
      </c>
      <c r="E26" s="256">
        <f t="shared" si="0"/>
        <v>40</v>
      </c>
      <c r="F26" s="122"/>
      <c r="G26" s="122"/>
      <c r="H26" s="257" t="s">
        <v>54</v>
      </c>
      <c r="I26" s="258">
        <f t="shared" si="1"/>
        <v>0.0035</v>
      </c>
      <c r="J26" s="3"/>
      <c r="K26" s="3"/>
      <c r="L26" s="3"/>
      <c r="M26" s="3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39"/>
      <c r="AI26" s="239"/>
      <c r="AJ26" s="239"/>
      <c r="AK26" s="239"/>
      <c r="AL26" s="239"/>
      <c r="AM26" s="239"/>
      <c r="AN26" s="239"/>
      <c r="AO26" s="239"/>
      <c r="AP26" s="239"/>
      <c r="AQ26" s="239"/>
      <c r="AR26" s="239"/>
      <c r="AS26" s="239"/>
      <c r="AT26" s="239"/>
      <c r="AU26" s="239"/>
      <c r="AV26" s="239"/>
      <c r="AW26" s="239"/>
      <c r="AX26" s="239"/>
      <c r="AY26" s="239"/>
      <c r="AZ26" s="239"/>
      <c r="BA26" s="239"/>
      <c r="BB26" s="239"/>
      <c r="BC26" s="239"/>
      <c r="BD26" s="239"/>
      <c r="BE26" s="239"/>
      <c r="BF26" s="239"/>
      <c r="BG26" s="239"/>
      <c r="BH26" s="239"/>
      <c r="BI26" s="239"/>
      <c r="BJ26" s="239"/>
      <c r="BK26" s="239"/>
      <c r="BL26" s="239"/>
      <c r="BM26" s="239"/>
      <c r="BN26" s="239"/>
      <c r="BO26" s="239"/>
      <c r="BP26" s="239"/>
      <c r="BQ26" s="239"/>
      <c r="BR26" s="239"/>
      <c r="BS26" s="239"/>
      <c r="BT26" s="239"/>
      <c r="BU26" s="239"/>
      <c r="BV26" s="239"/>
      <c r="BW26" s="239"/>
      <c r="BX26" s="239"/>
      <c r="BY26" s="239"/>
      <c r="BZ26" s="239"/>
    </row>
    <row r="27" ht="18" customHeight="1" spans="1:78" x14ac:dyDescent="0.25">
      <c r="A27" s="254">
        <v>24</v>
      </c>
      <c r="B27" s="255" t="s">
        <v>64</v>
      </c>
      <c r="C27" s="256">
        <v>25</v>
      </c>
      <c r="D27" s="256">
        <v>1</v>
      </c>
      <c r="E27" s="256">
        <f t="shared" si="0"/>
        <v>25</v>
      </c>
      <c r="F27" s="122"/>
      <c r="G27" s="122"/>
      <c r="H27" s="257" t="s">
        <v>54</v>
      </c>
      <c r="I27" s="258">
        <f t="shared" si="1"/>
        <v>0.0035</v>
      </c>
      <c r="J27" s="3"/>
      <c r="K27" s="3"/>
      <c r="L27" s="3"/>
      <c r="M27" s="3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39"/>
      <c r="AG27" s="239"/>
      <c r="AH27" s="239"/>
      <c r="AI27" s="239"/>
      <c r="AJ27" s="239"/>
      <c r="AK27" s="239"/>
      <c r="AL27" s="239"/>
      <c r="AM27" s="239"/>
      <c r="AN27" s="239"/>
      <c r="AO27" s="239"/>
      <c r="AP27" s="239"/>
      <c r="AQ27" s="239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39"/>
      <c r="BD27" s="239"/>
      <c r="BE27" s="239"/>
      <c r="BF27" s="239"/>
      <c r="BG27" s="239"/>
      <c r="BH27" s="239"/>
      <c r="BI27" s="239"/>
      <c r="BJ27" s="239"/>
      <c r="BK27" s="239"/>
      <c r="BL27" s="239"/>
      <c r="BM27" s="239"/>
      <c r="BN27" s="239"/>
      <c r="BO27" s="239"/>
      <c r="BP27" s="239"/>
      <c r="BQ27" s="239"/>
      <c r="BR27" s="239"/>
      <c r="BS27" s="239"/>
      <c r="BT27" s="239"/>
      <c r="BU27" s="239"/>
      <c r="BV27" s="239"/>
      <c r="BW27" s="239"/>
      <c r="BX27" s="239"/>
      <c r="BY27" s="239"/>
      <c r="BZ27" s="239"/>
    </row>
    <row r="28" ht="18" customHeight="1" spans="1:78" x14ac:dyDescent="0.25">
      <c r="A28" s="254">
        <v>25</v>
      </c>
      <c r="B28" s="255" t="s">
        <v>88</v>
      </c>
      <c r="C28" s="256">
        <v>25</v>
      </c>
      <c r="D28" s="256">
        <v>1</v>
      </c>
      <c r="E28" s="256">
        <f t="shared" si="0"/>
        <v>25</v>
      </c>
      <c r="F28" s="122"/>
      <c r="G28" s="122"/>
      <c r="H28" s="257" t="s">
        <v>54</v>
      </c>
      <c r="I28" s="258">
        <f t="shared" si="1"/>
        <v>0.0035</v>
      </c>
      <c r="J28" s="3"/>
      <c r="K28" s="3"/>
      <c r="L28" s="3"/>
      <c r="M28" s="3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  <c r="AA28" s="239"/>
      <c r="AB28" s="239"/>
      <c r="AC28" s="239"/>
      <c r="AD28" s="239"/>
      <c r="AE28" s="239"/>
      <c r="AF28" s="239"/>
      <c r="AG28" s="239"/>
      <c r="AH28" s="239"/>
      <c r="AI28" s="239"/>
      <c r="AJ28" s="239"/>
      <c r="AK28" s="239"/>
      <c r="AL28" s="239"/>
      <c r="AM28" s="239"/>
      <c r="AN28" s="239"/>
      <c r="AO28" s="239"/>
      <c r="AP28" s="239"/>
      <c r="AQ28" s="239"/>
      <c r="AR28" s="239"/>
      <c r="AS28" s="239"/>
      <c r="AT28" s="239"/>
      <c r="AU28" s="239"/>
      <c r="AV28" s="239"/>
      <c r="AW28" s="239"/>
      <c r="AX28" s="239"/>
      <c r="AY28" s="239"/>
      <c r="AZ28" s="239"/>
      <c r="BA28" s="239"/>
      <c r="BB28" s="239"/>
      <c r="BC28" s="239"/>
      <c r="BD28" s="239"/>
      <c r="BE28" s="239"/>
      <c r="BF28" s="239"/>
      <c r="BG28" s="239"/>
      <c r="BH28" s="239"/>
      <c r="BI28" s="239"/>
      <c r="BJ28" s="239"/>
      <c r="BK28" s="239"/>
      <c r="BL28" s="239"/>
      <c r="BM28" s="239"/>
      <c r="BN28" s="239"/>
      <c r="BO28" s="239"/>
      <c r="BP28" s="239"/>
      <c r="BQ28" s="239"/>
      <c r="BR28" s="239"/>
      <c r="BS28" s="239"/>
      <c r="BT28" s="239"/>
      <c r="BU28" s="239"/>
      <c r="BV28" s="239"/>
      <c r="BW28" s="239"/>
      <c r="BX28" s="239"/>
      <c r="BY28" s="239"/>
      <c r="BZ28" s="239"/>
    </row>
    <row r="29" ht="18" customHeight="1" spans="1:78" x14ac:dyDescent="0.25">
      <c r="A29" s="254">
        <v>26</v>
      </c>
      <c r="B29" s="255" t="s">
        <v>31</v>
      </c>
      <c r="C29" s="256">
        <v>25</v>
      </c>
      <c r="D29" s="256">
        <v>1</v>
      </c>
      <c r="E29" s="256">
        <f t="shared" si="0"/>
        <v>25</v>
      </c>
      <c r="F29" s="122"/>
      <c r="G29" s="122"/>
      <c r="H29" s="257" t="s">
        <v>55</v>
      </c>
      <c r="I29" s="258">
        <f t="shared" si="1"/>
        <v>0.0035</v>
      </c>
      <c r="J29" s="3"/>
      <c r="K29" s="3"/>
      <c r="L29" s="3"/>
      <c r="M29" s="3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39"/>
      <c r="AX29" s="239"/>
      <c r="AY29" s="239"/>
      <c r="AZ29" s="239"/>
      <c r="BA29" s="239"/>
      <c r="BB29" s="239"/>
      <c r="BC29" s="239"/>
      <c r="BD29" s="239"/>
      <c r="BE29" s="239"/>
      <c r="BF29" s="239"/>
      <c r="BG29" s="239"/>
      <c r="BH29" s="239"/>
      <c r="BI29" s="239"/>
      <c r="BJ29" s="239"/>
      <c r="BK29" s="239"/>
      <c r="BL29" s="239"/>
      <c r="BM29" s="239"/>
      <c r="BN29" s="239"/>
      <c r="BO29" s="239"/>
      <c r="BP29" s="239"/>
      <c r="BQ29" s="239"/>
      <c r="BR29" s="239"/>
      <c r="BS29" s="239"/>
      <c r="BT29" s="239"/>
      <c r="BU29" s="239"/>
      <c r="BV29" s="239"/>
      <c r="BW29" s="239"/>
      <c r="BX29" s="239"/>
      <c r="BY29" s="239"/>
      <c r="BZ29" s="239"/>
    </row>
    <row r="30" ht="18" customHeight="1" spans="1:78" x14ac:dyDescent="0.25">
      <c r="A30" s="254">
        <v>27</v>
      </c>
      <c r="B30" s="255" t="s">
        <v>63</v>
      </c>
      <c r="C30" s="256">
        <v>25</v>
      </c>
      <c r="D30" s="256">
        <v>1</v>
      </c>
      <c r="E30" s="256">
        <f t="shared" si="0"/>
        <v>25</v>
      </c>
      <c r="F30" s="122"/>
      <c r="G30" s="122"/>
      <c r="H30" s="257" t="s">
        <v>55</v>
      </c>
      <c r="I30" s="258">
        <f t="shared" si="1"/>
        <v>0.0035</v>
      </c>
      <c r="J30" s="3"/>
      <c r="K30" s="3"/>
      <c r="L30" s="3"/>
      <c r="M30" s="3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39"/>
      <c r="AJ30" s="239"/>
      <c r="AK30" s="239"/>
      <c r="AL30" s="239"/>
      <c r="AM30" s="239"/>
      <c r="AN30" s="239"/>
      <c r="AO30" s="239"/>
      <c r="AP30" s="239"/>
      <c r="AQ30" s="239"/>
      <c r="AR30" s="239"/>
      <c r="AS30" s="239"/>
      <c r="AT30" s="239"/>
      <c r="AU30" s="239"/>
      <c r="AV30" s="239"/>
      <c r="AW30" s="239"/>
      <c r="AX30" s="239"/>
      <c r="AY30" s="239"/>
      <c r="AZ30" s="239"/>
      <c r="BA30" s="239"/>
      <c r="BB30" s="239"/>
      <c r="BC30" s="239"/>
      <c r="BD30" s="239"/>
      <c r="BE30" s="239"/>
      <c r="BF30" s="239"/>
      <c r="BG30" s="239"/>
      <c r="BH30" s="239"/>
      <c r="BI30" s="239"/>
      <c r="BJ30" s="239"/>
      <c r="BK30" s="239"/>
      <c r="BL30" s="239"/>
      <c r="BM30" s="239"/>
      <c r="BN30" s="239"/>
      <c r="BO30" s="239"/>
      <c r="BP30" s="239"/>
      <c r="BQ30" s="239"/>
      <c r="BR30" s="239"/>
      <c r="BS30" s="239"/>
      <c r="BT30" s="239"/>
      <c r="BU30" s="239"/>
      <c r="BV30" s="239"/>
      <c r="BW30" s="239"/>
      <c r="BX30" s="239"/>
      <c r="BY30" s="239"/>
      <c r="BZ30" s="239"/>
    </row>
    <row r="31" ht="18" customHeight="1" spans="1:78" x14ac:dyDescent="0.25">
      <c r="A31" s="254">
        <v>28</v>
      </c>
      <c r="B31" s="255" t="s">
        <v>141</v>
      </c>
      <c r="C31" s="256">
        <v>25</v>
      </c>
      <c r="D31" s="256">
        <v>1</v>
      </c>
      <c r="E31" s="256">
        <f t="shared" si="0"/>
        <v>25</v>
      </c>
      <c r="F31" s="122"/>
      <c r="G31" s="122"/>
      <c r="H31" s="257" t="s">
        <v>55</v>
      </c>
      <c r="I31" s="258">
        <f t="shared" si="1"/>
        <v>0.0035</v>
      </c>
      <c r="J31" s="3"/>
      <c r="K31" s="3"/>
      <c r="L31" s="3"/>
      <c r="M31" s="3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39"/>
      <c r="AI31" s="239"/>
      <c r="AJ31" s="239"/>
      <c r="AK31" s="239"/>
      <c r="AL31" s="239"/>
      <c r="AM31" s="239"/>
      <c r="AN31" s="239"/>
      <c r="AO31" s="239"/>
      <c r="AP31" s="239"/>
      <c r="AQ31" s="239"/>
      <c r="AR31" s="239"/>
      <c r="AS31" s="239"/>
      <c r="AT31" s="239"/>
      <c r="AU31" s="239"/>
      <c r="AV31" s="239"/>
      <c r="AW31" s="239"/>
      <c r="AX31" s="239"/>
      <c r="AY31" s="239"/>
      <c r="AZ31" s="239"/>
      <c r="BA31" s="239"/>
      <c r="BB31" s="239"/>
      <c r="BC31" s="239"/>
      <c r="BD31" s="239"/>
      <c r="BE31" s="239"/>
      <c r="BF31" s="239"/>
      <c r="BG31" s="239"/>
      <c r="BH31" s="239"/>
      <c r="BI31" s="239"/>
      <c r="BJ31" s="239"/>
      <c r="BK31" s="239"/>
      <c r="BL31" s="239"/>
      <c r="BM31" s="239"/>
      <c r="BN31" s="239"/>
      <c r="BO31" s="239"/>
      <c r="BP31" s="239"/>
      <c r="BQ31" s="239"/>
      <c r="BR31" s="239"/>
      <c r="BS31" s="239"/>
      <c r="BT31" s="239"/>
      <c r="BU31" s="239"/>
      <c r="BV31" s="239"/>
      <c r="BW31" s="239"/>
      <c r="BX31" s="239"/>
      <c r="BY31" s="239"/>
      <c r="BZ31" s="239"/>
    </row>
    <row r="32" ht="18" customHeight="1" spans="1:78" x14ac:dyDescent="0.25">
      <c r="A32" s="254">
        <v>29</v>
      </c>
      <c r="B32" s="255" t="s">
        <v>217</v>
      </c>
      <c r="C32" s="256">
        <v>25</v>
      </c>
      <c r="D32" s="256">
        <v>1</v>
      </c>
      <c r="E32" s="256">
        <f t="shared" si="0"/>
        <v>25</v>
      </c>
      <c r="F32" s="122"/>
      <c r="G32" s="122"/>
      <c r="H32" s="257" t="s">
        <v>55</v>
      </c>
      <c r="I32" s="258">
        <f t="shared" si="1"/>
        <v>0.0035</v>
      </c>
      <c r="J32" s="3"/>
      <c r="K32" s="3"/>
      <c r="L32" s="3"/>
      <c r="M32" s="3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  <c r="AA32" s="239"/>
      <c r="AB32" s="239"/>
      <c r="AC32" s="239"/>
      <c r="AD32" s="239"/>
      <c r="AE32" s="239"/>
      <c r="AF32" s="239"/>
      <c r="AG32" s="239"/>
      <c r="AH32" s="239"/>
      <c r="AI32" s="239"/>
      <c r="AJ32" s="239"/>
      <c r="AK32" s="239"/>
      <c r="AL32" s="239"/>
      <c r="AM32" s="239"/>
      <c r="AN32" s="239"/>
      <c r="AO32" s="239"/>
      <c r="AP32" s="239"/>
      <c r="AQ32" s="239"/>
      <c r="AR32" s="239"/>
      <c r="AS32" s="239"/>
      <c r="AT32" s="239"/>
      <c r="AU32" s="239"/>
      <c r="AV32" s="239"/>
      <c r="AW32" s="239"/>
      <c r="AX32" s="239"/>
      <c r="AY32" s="239"/>
      <c r="AZ32" s="239"/>
      <c r="BA32" s="239"/>
      <c r="BB32" s="239"/>
      <c r="BC32" s="239"/>
      <c r="BD32" s="239"/>
      <c r="BE32" s="239"/>
      <c r="BF32" s="239"/>
      <c r="BG32" s="239"/>
      <c r="BH32" s="239"/>
      <c r="BI32" s="239"/>
      <c r="BJ32" s="239"/>
      <c r="BK32" s="239"/>
      <c r="BL32" s="239"/>
      <c r="BM32" s="239"/>
      <c r="BN32" s="239"/>
      <c r="BO32" s="239"/>
      <c r="BP32" s="239"/>
      <c r="BQ32" s="239"/>
      <c r="BR32" s="239"/>
      <c r="BS32" s="239"/>
      <c r="BT32" s="239"/>
      <c r="BU32" s="239"/>
      <c r="BV32" s="239"/>
      <c r="BW32" s="239"/>
      <c r="BX32" s="239"/>
      <c r="BY32" s="239"/>
      <c r="BZ32" s="239"/>
    </row>
    <row r="33" ht="18" customHeight="1" spans="1:78" x14ac:dyDescent="0.25">
      <c r="A33" s="254">
        <v>30</v>
      </c>
      <c r="B33" s="255" t="s">
        <v>67</v>
      </c>
      <c r="C33" s="256">
        <v>25</v>
      </c>
      <c r="D33" s="256">
        <v>1</v>
      </c>
      <c r="E33" s="256">
        <f t="shared" si="0"/>
        <v>25</v>
      </c>
      <c r="F33" s="122"/>
      <c r="G33" s="122"/>
      <c r="H33" s="257" t="s">
        <v>55</v>
      </c>
      <c r="I33" s="258">
        <f t="shared" si="1"/>
        <v>0.0035</v>
      </c>
      <c r="J33" s="3"/>
      <c r="K33" s="3"/>
      <c r="L33" s="3"/>
      <c r="M33" s="3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239"/>
      <c r="AI33" s="239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  <c r="AU33" s="239"/>
      <c r="AV33" s="239"/>
      <c r="AW33" s="239"/>
      <c r="AX33" s="239"/>
      <c r="AY33" s="239"/>
      <c r="AZ33" s="239"/>
      <c r="BA33" s="239"/>
      <c r="BB33" s="239"/>
      <c r="BC33" s="239"/>
      <c r="BD33" s="239"/>
      <c r="BE33" s="239"/>
      <c r="BF33" s="239"/>
      <c r="BG33" s="239"/>
      <c r="BH33" s="239"/>
      <c r="BI33" s="239"/>
      <c r="BJ33" s="239"/>
      <c r="BK33" s="239"/>
      <c r="BL33" s="239"/>
      <c r="BM33" s="239"/>
      <c r="BN33" s="239"/>
      <c r="BO33" s="239"/>
      <c r="BP33" s="239"/>
      <c r="BQ33" s="239"/>
      <c r="BR33" s="239"/>
      <c r="BS33" s="239"/>
      <c r="BT33" s="239"/>
      <c r="BU33" s="239"/>
      <c r="BV33" s="239"/>
      <c r="BW33" s="239"/>
      <c r="BX33" s="239"/>
      <c r="BY33" s="239"/>
      <c r="BZ33" s="239"/>
    </row>
    <row r="34" ht="18" customHeight="1" spans="1:78" x14ac:dyDescent="0.25">
      <c r="A34" s="254">
        <v>31</v>
      </c>
      <c r="B34" s="255" t="s">
        <v>68</v>
      </c>
      <c r="C34" s="256">
        <v>25</v>
      </c>
      <c r="D34" s="256">
        <v>1</v>
      </c>
      <c r="E34" s="256">
        <f t="shared" si="0"/>
        <v>25</v>
      </c>
      <c r="F34" s="122"/>
      <c r="G34" s="122"/>
      <c r="H34" s="257" t="s">
        <v>55</v>
      </c>
      <c r="I34" s="258">
        <f t="shared" si="1"/>
        <v>0.0035</v>
      </c>
      <c r="J34" s="3"/>
      <c r="K34" s="3"/>
      <c r="L34" s="3"/>
      <c r="M34" s="3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  <c r="AA34" s="239"/>
      <c r="AB34" s="239"/>
      <c r="AC34" s="239"/>
      <c r="AD34" s="239"/>
      <c r="AE34" s="239"/>
      <c r="AF34" s="239"/>
      <c r="AG34" s="239"/>
      <c r="AH34" s="239"/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39"/>
      <c r="BC34" s="239"/>
      <c r="BD34" s="239"/>
      <c r="BE34" s="239"/>
      <c r="BF34" s="239"/>
      <c r="BG34" s="239"/>
      <c r="BH34" s="239"/>
      <c r="BI34" s="239"/>
      <c r="BJ34" s="239"/>
      <c r="BK34" s="239"/>
      <c r="BL34" s="239"/>
      <c r="BM34" s="239"/>
      <c r="BN34" s="239"/>
      <c r="BO34" s="239"/>
      <c r="BP34" s="239"/>
      <c r="BQ34" s="239"/>
      <c r="BR34" s="239"/>
      <c r="BS34" s="239"/>
      <c r="BT34" s="239"/>
      <c r="BU34" s="239"/>
      <c r="BV34" s="239"/>
      <c r="BW34" s="239"/>
      <c r="BX34" s="239"/>
      <c r="BY34" s="239"/>
      <c r="BZ34" s="239"/>
    </row>
    <row r="35" ht="18" customHeight="1" spans="1:78" x14ac:dyDescent="0.25">
      <c r="A35" s="254">
        <v>32</v>
      </c>
      <c r="B35" s="255" t="s">
        <v>69</v>
      </c>
      <c r="C35" s="256">
        <v>25</v>
      </c>
      <c r="D35" s="256">
        <v>1</v>
      </c>
      <c r="E35" s="256">
        <f t="shared" si="0"/>
        <v>25</v>
      </c>
      <c r="F35" s="122"/>
      <c r="G35" s="122"/>
      <c r="H35" s="257" t="s">
        <v>55</v>
      </c>
      <c r="I35" s="258">
        <f t="shared" si="1"/>
        <v>0.0035</v>
      </c>
      <c r="J35" s="3"/>
      <c r="K35" s="3"/>
      <c r="L35" s="3"/>
      <c r="M35" s="3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39"/>
      <c r="AF35" s="239"/>
      <c r="AG35" s="239"/>
      <c r="AH35" s="239"/>
      <c r="AI35" s="239"/>
      <c r="AJ35" s="239"/>
      <c r="AK35" s="239"/>
      <c r="AL35" s="239"/>
      <c r="AM35" s="239"/>
      <c r="AN35" s="239"/>
      <c r="AO35" s="239"/>
      <c r="AP35" s="239"/>
      <c r="AQ35" s="239"/>
      <c r="AR35" s="239"/>
      <c r="AS35" s="239"/>
      <c r="AT35" s="239"/>
      <c r="AU35" s="239"/>
      <c r="AV35" s="239"/>
      <c r="AW35" s="239"/>
      <c r="AX35" s="239"/>
      <c r="AY35" s="239"/>
      <c r="AZ35" s="239"/>
      <c r="BA35" s="239"/>
      <c r="BB35" s="239"/>
      <c r="BC35" s="239"/>
      <c r="BD35" s="239"/>
      <c r="BE35" s="239"/>
      <c r="BF35" s="239"/>
      <c r="BG35" s="239"/>
      <c r="BH35" s="239"/>
      <c r="BI35" s="239"/>
      <c r="BJ35" s="239"/>
      <c r="BK35" s="239"/>
      <c r="BL35" s="239"/>
      <c r="BM35" s="239"/>
      <c r="BN35" s="239"/>
      <c r="BO35" s="239"/>
      <c r="BP35" s="239"/>
      <c r="BQ35" s="239"/>
      <c r="BR35" s="239"/>
      <c r="BS35" s="239"/>
      <c r="BT35" s="239"/>
      <c r="BU35" s="239"/>
      <c r="BV35" s="239"/>
      <c r="BW35" s="239"/>
      <c r="BX35" s="239"/>
      <c r="BY35" s="239"/>
      <c r="BZ35" s="239"/>
    </row>
    <row r="36" ht="18" customHeight="1" spans="1:78" x14ac:dyDescent="0.25">
      <c r="A36" s="254">
        <v>33</v>
      </c>
      <c r="B36" s="255" t="s">
        <v>70</v>
      </c>
      <c r="C36" s="256">
        <v>25</v>
      </c>
      <c r="D36" s="256">
        <v>1</v>
      </c>
      <c r="E36" s="256">
        <f t="shared" si="0"/>
        <v>25</v>
      </c>
      <c r="F36" s="122"/>
      <c r="G36" s="122"/>
      <c r="H36" s="257" t="s">
        <v>55</v>
      </c>
      <c r="I36" s="258">
        <f t="shared" si="1"/>
        <v>0.0035</v>
      </c>
      <c r="J36" s="3"/>
      <c r="K36" s="3"/>
      <c r="L36" s="3"/>
      <c r="M36" s="3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239"/>
      <c r="AB36" s="239"/>
      <c r="AC36" s="239"/>
      <c r="AD36" s="239"/>
      <c r="AE36" s="239"/>
      <c r="AF36" s="239"/>
      <c r="AG36" s="239"/>
      <c r="AH36" s="239"/>
      <c r="AI36" s="239"/>
      <c r="AJ36" s="239"/>
      <c r="AK36" s="239"/>
      <c r="AL36" s="239"/>
      <c r="AM36" s="239"/>
      <c r="AN36" s="239"/>
      <c r="AO36" s="239"/>
      <c r="AP36" s="239"/>
      <c r="AQ36" s="239"/>
      <c r="AR36" s="239"/>
      <c r="AS36" s="239"/>
      <c r="AT36" s="239"/>
      <c r="AU36" s="239"/>
      <c r="AV36" s="239"/>
      <c r="AW36" s="239"/>
      <c r="AX36" s="239"/>
      <c r="AY36" s="239"/>
      <c r="AZ36" s="239"/>
      <c r="BA36" s="239"/>
      <c r="BB36" s="239"/>
      <c r="BC36" s="239"/>
      <c r="BD36" s="239"/>
      <c r="BE36" s="239"/>
      <c r="BF36" s="239"/>
      <c r="BG36" s="239"/>
      <c r="BH36" s="239"/>
      <c r="BI36" s="239"/>
      <c r="BJ36" s="239"/>
      <c r="BK36" s="239"/>
      <c r="BL36" s="239"/>
      <c r="BM36" s="239"/>
      <c r="BN36" s="239"/>
      <c r="BO36" s="239"/>
      <c r="BP36" s="239"/>
      <c r="BQ36" s="239"/>
      <c r="BR36" s="239"/>
      <c r="BS36" s="239"/>
      <c r="BT36" s="239"/>
      <c r="BU36" s="239"/>
      <c r="BV36" s="239"/>
      <c r="BW36" s="239"/>
      <c r="BX36" s="239"/>
      <c r="BY36" s="239"/>
      <c r="BZ36" s="239"/>
    </row>
    <row r="37" ht="18" customHeight="1" spans="1:78" x14ac:dyDescent="0.25">
      <c r="A37" s="254">
        <v>34</v>
      </c>
      <c r="B37" s="255" t="s">
        <v>65</v>
      </c>
      <c r="C37" s="256">
        <v>25</v>
      </c>
      <c r="D37" s="256">
        <v>1</v>
      </c>
      <c r="E37" s="256">
        <f t="shared" si="0"/>
        <v>25</v>
      </c>
      <c r="F37" s="122"/>
      <c r="G37" s="122"/>
      <c r="H37" s="257" t="s">
        <v>55</v>
      </c>
      <c r="I37" s="258">
        <f t="shared" si="1"/>
        <v>0.0035</v>
      </c>
      <c r="J37" s="3"/>
      <c r="K37" s="3"/>
      <c r="L37" s="3"/>
      <c r="M37" s="3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9"/>
      <c r="AH37" s="239"/>
      <c r="AI37" s="239"/>
      <c r="AJ37" s="239"/>
      <c r="AK37" s="239"/>
      <c r="AL37" s="239"/>
      <c r="AM37" s="239"/>
      <c r="AN37" s="239"/>
      <c r="AO37" s="239"/>
      <c r="AP37" s="239"/>
      <c r="AQ37" s="239"/>
      <c r="AR37" s="239"/>
      <c r="AS37" s="239"/>
      <c r="AT37" s="239"/>
      <c r="AU37" s="239"/>
      <c r="AV37" s="239"/>
      <c r="AW37" s="239"/>
      <c r="AX37" s="239"/>
      <c r="AY37" s="239"/>
      <c r="AZ37" s="239"/>
      <c r="BA37" s="239"/>
      <c r="BB37" s="239"/>
      <c r="BC37" s="239"/>
      <c r="BD37" s="239"/>
      <c r="BE37" s="239"/>
      <c r="BF37" s="239"/>
      <c r="BG37" s="239"/>
      <c r="BH37" s="239"/>
      <c r="BI37" s="239"/>
      <c r="BJ37" s="239"/>
      <c r="BK37" s="239"/>
      <c r="BL37" s="239"/>
      <c r="BM37" s="239"/>
      <c r="BN37" s="239"/>
      <c r="BO37" s="239"/>
      <c r="BP37" s="239"/>
      <c r="BQ37" s="239"/>
      <c r="BR37" s="239"/>
      <c r="BS37" s="239"/>
      <c r="BT37" s="239"/>
      <c r="BU37" s="239"/>
      <c r="BV37" s="239"/>
      <c r="BW37" s="239"/>
      <c r="BX37" s="239"/>
      <c r="BY37" s="239"/>
      <c r="BZ37" s="239"/>
    </row>
    <row r="38" ht="18" customHeight="1" spans="1:78" x14ac:dyDescent="0.25">
      <c r="A38" s="254">
        <v>35</v>
      </c>
      <c r="B38" s="255" t="s">
        <v>27</v>
      </c>
      <c r="C38" s="256">
        <v>25</v>
      </c>
      <c r="D38" s="256">
        <v>1</v>
      </c>
      <c r="E38" s="256">
        <f t="shared" si="0"/>
        <v>25</v>
      </c>
      <c r="F38" s="122"/>
      <c r="G38" s="122"/>
      <c r="H38" s="257" t="s">
        <v>55</v>
      </c>
      <c r="I38" s="258">
        <f t="shared" si="1"/>
        <v>0.0035</v>
      </c>
      <c r="J38" s="3"/>
      <c r="K38" s="3"/>
      <c r="L38" s="3"/>
      <c r="M38" s="3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  <c r="AA38" s="239"/>
      <c r="AB38" s="239"/>
      <c r="AC38" s="239"/>
      <c r="AD38" s="239"/>
      <c r="AE38" s="239"/>
      <c r="AF38" s="239"/>
      <c r="AG38" s="239"/>
      <c r="AH38" s="239"/>
      <c r="AI38" s="239"/>
      <c r="AJ38" s="239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  <c r="AU38" s="239"/>
      <c r="AV38" s="239"/>
      <c r="AW38" s="239"/>
      <c r="AX38" s="239"/>
      <c r="AY38" s="239"/>
      <c r="AZ38" s="239"/>
      <c r="BA38" s="239"/>
      <c r="BB38" s="239"/>
      <c r="BC38" s="239"/>
      <c r="BD38" s="239"/>
      <c r="BE38" s="239"/>
      <c r="BF38" s="239"/>
      <c r="BG38" s="239"/>
      <c r="BH38" s="239"/>
      <c r="BI38" s="239"/>
      <c r="BJ38" s="239"/>
      <c r="BK38" s="239"/>
      <c r="BL38" s="239"/>
      <c r="BM38" s="239"/>
      <c r="BN38" s="239"/>
      <c r="BO38" s="239"/>
      <c r="BP38" s="239"/>
      <c r="BQ38" s="239"/>
      <c r="BR38" s="239"/>
      <c r="BS38" s="239"/>
      <c r="BT38" s="239"/>
      <c r="BU38" s="239"/>
      <c r="BV38" s="239"/>
      <c r="BW38" s="239"/>
      <c r="BX38" s="239"/>
      <c r="BY38" s="239"/>
      <c r="BZ38" s="239"/>
    </row>
    <row r="39" ht="18" customHeight="1" spans="1:78" x14ac:dyDescent="0.25">
      <c r="A39" s="254">
        <v>36</v>
      </c>
      <c r="B39" s="255" t="s">
        <v>30</v>
      </c>
      <c r="C39" s="256">
        <v>25</v>
      </c>
      <c r="D39" s="256">
        <v>1</v>
      </c>
      <c r="E39" s="256">
        <f t="shared" si="0"/>
        <v>25</v>
      </c>
      <c r="F39" s="122"/>
      <c r="G39" s="122"/>
      <c r="H39" s="257" t="s">
        <v>55</v>
      </c>
      <c r="I39" s="258">
        <f t="shared" si="1"/>
        <v>0.0035</v>
      </c>
      <c r="J39" s="3"/>
      <c r="K39" s="3"/>
      <c r="L39" s="3"/>
      <c r="M39" s="3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39"/>
      <c r="AF39" s="239"/>
      <c r="AG39" s="239"/>
      <c r="AH39" s="239"/>
      <c r="AI39" s="239"/>
      <c r="AJ39" s="239"/>
      <c r="AK39" s="239"/>
      <c r="AL39" s="239"/>
      <c r="AM39" s="239"/>
      <c r="AN39" s="239"/>
      <c r="AO39" s="239"/>
      <c r="AP39" s="239"/>
      <c r="AQ39" s="239"/>
      <c r="AR39" s="239"/>
      <c r="AS39" s="239"/>
      <c r="AT39" s="239"/>
      <c r="AU39" s="239"/>
      <c r="AV39" s="239"/>
      <c r="AW39" s="239"/>
      <c r="AX39" s="239"/>
      <c r="AY39" s="239"/>
      <c r="AZ39" s="239"/>
      <c r="BA39" s="239"/>
      <c r="BB39" s="239"/>
      <c r="BC39" s="239"/>
      <c r="BD39" s="239"/>
      <c r="BE39" s="239"/>
      <c r="BF39" s="239"/>
      <c r="BG39" s="239"/>
      <c r="BH39" s="239"/>
      <c r="BI39" s="239"/>
      <c r="BJ39" s="239"/>
      <c r="BK39" s="239"/>
      <c r="BL39" s="239"/>
      <c r="BM39" s="239"/>
      <c r="BN39" s="239"/>
      <c r="BO39" s="239"/>
      <c r="BP39" s="239"/>
      <c r="BQ39" s="239"/>
      <c r="BR39" s="239"/>
      <c r="BS39" s="239"/>
      <c r="BT39" s="239"/>
      <c r="BU39" s="239"/>
      <c r="BV39" s="239"/>
      <c r="BW39" s="239"/>
      <c r="BX39" s="239"/>
      <c r="BY39" s="239"/>
      <c r="BZ39" s="239"/>
    </row>
    <row r="40" ht="18" customHeight="1" spans="1:78" x14ac:dyDescent="0.25">
      <c r="A40" s="254">
        <v>37</v>
      </c>
      <c r="B40" s="255" t="s">
        <v>28</v>
      </c>
      <c r="C40" s="256">
        <v>25</v>
      </c>
      <c r="D40" s="256">
        <v>1</v>
      </c>
      <c r="E40" s="256">
        <f t="shared" si="0"/>
        <v>25</v>
      </c>
      <c r="F40" s="122"/>
      <c r="G40" s="122"/>
      <c r="H40" s="257" t="s">
        <v>55</v>
      </c>
      <c r="I40" s="258">
        <f t="shared" si="1"/>
        <v>0.0035</v>
      </c>
      <c r="J40" s="3"/>
      <c r="K40" s="3"/>
      <c r="L40" s="3"/>
      <c r="M40" s="3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39"/>
      <c r="AF40" s="239"/>
      <c r="AG40" s="239"/>
      <c r="AH40" s="239"/>
      <c r="AI40" s="239"/>
      <c r="AJ40" s="239"/>
      <c r="AK40" s="239"/>
      <c r="AL40" s="239"/>
      <c r="AM40" s="239"/>
      <c r="AN40" s="239"/>
      <c r="AO40" s="239"/>
      <c r="AP40" s="239"/>
      <c r="AQ40" s="239"/>
      <c r="AR40" s="239"/>
      <c r="AS40" s="239"/>
      <c r="AT40" s="239"/>
      <c r="AU40" s="239"/>
      <c r="AV40" s="239"/>
      <c r="AW40" s="239"/>
      <c r="AX40" s="239"/>
      <c r="AY40" s="239"/>
      <c r="AZ40" s="239"/>
      <c r="BA40" s="239"/>
      <c r="BB40" s="239"/>
      <c r="BC40" s="239"/>
      <c r="BD40" s="239"/>
      <c r="BE40" s="239"/>
      <c r="BF40" s="239"/>
      <c r="BG40" s="239"/>
      <c r="BH40" s="239"/>
      <c r="BI40" s="239"/>
      <c r="BJ40" s="239"/>
      <c r="BK40" s="239"/>
      <c r="BL40" s="239"/>
      <c r="BM40" s="239"/>
      <c r="BN40" s="239"/>
      <c r="BO40" s="239"/>
      <c r="BP40" s="239"/>
      <c r="BQ40" s="239"/>
      <c r="BR40" s="239"/>
      <c r="BS40" s="239"/>
      <c r="BT40" s="239"/>
      <c r="BU40" s="239"/>
      <c r="BV40" s="239"/>
      <c r="BW40" s="239"/>
      <c r="BX40" s="239"/>
      <c r="BY40" s="239"/>
      <c r="BZ40" s="239"/>
    </row>
    <row r="41" ht="18" customHeight="1" spans="1:78" x14ac:dyDescent="0.25">
      <c r="A41" s="254">
        <v>38</v>
      </c>
      <c r="B41" s="255" t="s">
        <v>29</v>
      </c>
      <c r="C41" s="256">
        <v>25</v>
      </c>
      <c r="D41" s="256">
        <v>1</v>
      </c>
      <c r="E41" s="256">
        <f t="shared" si="0"/>
        <v>25</v>
      </c>
      <c r="F41" s="122"/>
      <c r="G41" s="122"/>
      <c r="H41" s="257" t="s">
        <v>55</v>
      </c>
      <c r="I41" s="258">
        <f t="shared" si="1"/>
        <v>0.0035</v>
      </c>
      <c r="J41" s="3"/>
      <c r="K41" s="3"/>
      <c r="L41" s="3"/>
      <c r="M41" s="3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39"/>
      <c r="AF41" s="239"/>
      <c r="AG41" s="239"/>
      <c r="AH41" s="239"/>
      <c r="AI41" s="239"/>
      <c r="AJ41" s="239"/>
      <c r="AK41" s="239"/>
      <c r="AL41" s="239"/>
      <c r="AM41" s="239"/>
      <c r="AN41" s="239"/>
      <c r="AO41" s="239"/>
      <c r="AP41" s="239"/>
      <c r="AQ41" s="239"/>
      <c r="AR41" s="239"/>
      <c r="AS41" s="239"/>
      <c r="AT41" s="239"/>
      <c r="AU41" s="239"/>
      <c r="AV41" s="239"/>
      <c r="AW41" s="239"/>
      <c r="AX41" s="239"/>
      <c r="AY41" s="239"/>
      <c r="AZ41" s="239"/>
      <c r="BA41" s="239"/>
      <c r="BB41" s="239"/>
      <c r="BC41" s="239"/>
      <c r="BD41" s="239"/>
      <c r="BE41" s="239"/>
      <c r="BF41" s="239"/>
      <c r="BG41" s="239"/>
      <c r="BH41" s="239"/>
      <c r="BI41" s="239"/>
      <c r="BJ41" s="239"/>
      <c r="BK41" s="239"/>
      <c r="BL41" s="239"/>
      <c r="BM41" s="239"/>
      <c r="BN41" s="239"/>
      <c r="BO41" s="239"/>
      <c r="BP41" s="239"/>
      <c r="BQ41" s="239"/>
      <c r="BR41" s="239"/>
      <c r="BS41" s="239"/>
      <c r="BT41" s="239"/>
      <c r="BU41" s="239"/>
      <c r="BV41" s="239"/>
      <c r="BW41" s="239"/>
      <c r="BX41" s="239"/>
      <c r="BY41" s="239"/>
      <c r="BZ41" s="239"/>
    </row>
    <row r="42" ht="18" customHeight="1" spans="1:78" x14ac:dyDescent="0.25">
      <c r="A42" s="254">
        <v>39</v>
      </c>
      <c r="B42" s="255" t="s">
        <v>66</v>
      </c>
      <c r="C42" s="256">
        <v>25</v>
      </c>
      <c r="D42" s="256">
        <v>1</v>
      </c>
      <c r="E42" s="256">
        <f t="shared" si="0"/>
        <v>25</v>
      </c>
      <c r="F42" s="122"/>
      <c r="G42" s="122"/>
      <c r="H42" s="257" t="s">
        <v>55</v>
      </c>
      <c r="I42" s="258">
        <f t="shared" si="1"/>
        <v>0.0035</v>
      </c>
      <c r="J42" s="3"/>
      <c r="K42" s="3"/>
      <c r="L42" s="3"/>
      <c r="M42" s="3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  <c r="AA42" s="239"/>
      <c r="AB42" s="239"/>
      <c r="AC42" s="239"/>
      <c r="AD42" s="239"/>
      <c r="AE42" s="239"/>
      <c r="AF42" s="239"/>
      <c r="AG42" s="239"/>
      <c r="AH42" s="239"/>
      <c r="AI42" s="239"/>
      <c r="AJ42" s="239"/>
      <c r="AK42" s="239"/>
      <c r="AL42" s="239"/>
      <c r="AM42" s="239"/>
      <c r="AN42" s="239"/>
      <c r="AO42" s="239"/>
      <c r="AP42" s="239"/>
      <c r="AQ42" s="239"/>
      <c r="AR42" s="239"/>
      <c r="AS42" s="239"/>
      <c r="AT42" s="239"/>
      <c r="AU42" s="239"/>
      <c r="AV42" s="239"/>
      <c r="AW42" s="239"/>
      <c r="AX42" s="239"/>
      <c r="AY42" s="239"/>
      <c r="AZ42" s="239"/>
      <c r="BA42" s="239"/>
      <c r="BB42" s="239"/>
      <c r="BC42" s="239"/>
      <c r="BD42" s="239"/>
      <c r="BE42" s="239"/>
      <c r="BF42" s="239"/>
      <c r="BG42" s="239"/>
      <c r="BH42" s="239"/>
      <c r="BI42" s="239"/>
      <c r="BJ42" s="239"/>
      <c r="BK42" s="239"/>
      <c r="BL42" s="239"/>
      <c r="BM42" s="239"/>
      <c r="BN42" s="239"/>
      <c r="BO42" s="239"/>
      <c r="BP42" s="239"/>
      <c r="BQ42" s="239"/>
      <c r="BR42" s="239"/>
      <c r="BS42" s="239"/>
      <c r="BT42" s="239"/>
      <c r="BU42" s="239"/>
      <c r="BV42" s="239"/>
      <c r="BW42" s="239"/>
      <c r="BX42" s="239"/>
      <c r="BY42" s="239"/>
      <c r="BZ42" s="239"/>
    </row>
    <row r="43" ht="18" customHeight="1" spans="1:78" x14ac:dyDescent="0.25">
      <c r="A43" s="254">
        <v>40</v>
      </c>
      <c r="B43" s="255" t="s">
        <v>218</v>
      </c>
      <c r="C43" s="256">
        <v>25</v>
      </c>
      <c r="D43" s="256">
        <v>1</v>
      </c>
      <c r="E43" s="256">
        <f t="shared" si="0"/>
        <v>25</v>
      </c>
      <c r="F43" s="122"/>
      <c r="G43" s="122"/>
      <c r="H43" s="257" t="s">
        <v>55</v>
      </c>
      <c r="I43" s="258">
        <f t="shared" si="1"/>
        <v>0.0035</v>
      </c>
      <c r="J43" s="3"/>
      <c r="K43" s="3"/>
      <c r="L43" s="3"/>
      <c r="M43" s="3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  <c r="AU43" s="239"/>
      <c r="AV43" s="239"/>
      <c r="AW43" s="239"/>
      <c r="AX43" s="239"/>
      <c r="AY43" s="239"/>
      <c r="AZ43" s="239"/>
      <c r="BA43" s="239"/>
      <c r="BB43" s="239"/>
      <c r="BC43" s="239"/>
      <c r="BD43" s="239"/>
      <c r="BE43" s="239"/>
      <c r="BF43" s="239"/>
      <c r="BG43" s="239"/>
      <c r="BH43" s="239"/>
      <c r="BI43" s="239"/>
      <c r="BJ43" s="239"/>
      <c r="BK43" s="239"/>
      <c r="BL43" s="239"/>
      <c r="BM43" s="239"/>
      <c r="BN43" s="239"/>
      <c r="BO43" s="239"/>
      <c r="BP43" s="239"/>
      <c r="BQ43" s="239"/>
      <c r="BR43" s="239"/>
      <c r="BS43" s="239"/>
      <c r="BT43" s="239"/>
      <c r="BU43" s="239"/>
      <c r="BV43" s="239"/>
      <c r="BW43" s="239"/>
      <c r="BX43" s="239"/>
      <c r="BY43" s="239"/>
      <c r="BZ43" s="239"/>
    </row>
    <row r="44" ht="18" customHeight="1" spans="1:78" x14ac:dyDescent="0.25">
      <c r="A44" s="254">
        <v>41</v>
      </c>
      <c r="B44" s="255" t="s">
        <v>219</v>
      </c>
      <c r="C44" s="256">
        <v>25</v>
      </c>
      <c r="D44" s="256">
        <v>1</v>
      </c>
      <c r="E44" s="256">
        <f t="shared" si="0"/>
        <v>25</v>
      </c>
      <c r="F44" s="122"/>
      <c r="G44" s="122"/>
      <c r="H44" s="257" t="s">
        <v>55</v>
      </c>
      <c r="I44" s="258">
        <f t="shared" si="1"/>
        <v>0.0035</v>
      </c>
      <c r="J44" s="3"/>
      <c r="K44" s="3"/>
      <c r="L44" s="3"/>
      <c r="M44" s="3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39"/>
      <c r="AF44" s="239"/>
      <c r="AG44" s="239"/>
      <c r="AH44" s="239"/>
      <c r="AI44" s="239"/>
      <c r="AJ44" s="239"/>
      <c r="AK44" s="239"/>
      <c r="AL44" s="239"/>
      <c r="AM44" s="239"/>
      <c r="AN44" s="239"/>
      <c r="AO44" s="239"/>
      <c r="AP44" s="239"/>
      <c r="AQ44" s="239"/>
      <c r="AR44" s="239"/>
      <c r="AS44" s="239"/>
      <c r="AT44" s="239"/>
      <c r="AU44" s="239"/>
      <c r="AV44" s="239"/>
      <c r="AW44" s="239"/>
      <c r="AX44" s="239"/>
      <c r="AY44" s="239"/>
      <c r="AZ44" s="239"/>
      <c r="BA44" s="239"/>
      <c r="BB44" s="239"/>
      <c r="BC44" s="239"/>
      <c r="BD44" s="239"/>
      <c r="BE44" s="239"/>
      <c r="BF44" s="239"/>
      <c r="BG44" s="239"/>
      <c r="BH44" s="239"/>
      <c r="BI44" s="239"/>
      <c r="BJ44" s="239"/>
      <c r="BK44" s="239"/>
      <c r="BL44" s="239"/>
      <c r="BM44" s="239"/>
      <c r="BN44" s="239"/>
      <c r="BO44" s="239"/>
      <c r="BP44" s="239"/>
      <c r="BQ44" s="239"/>
      <c r="BR44" s="239"/>
      <c r="BS44" s="239"/>
      <c r="BT44" s="239"/>
      <c r="BU44" s="239"/>
      <c r="BV44" s="239"/>
      <c r="BW44" s="239"/>
      <c r="BX44" s="239"/>
      <c r="BY44" s="239"/>
      <c r="BZ44" s="239"/>
    </row>
    <row r="45" ht="18" customHeight="1" spans="1:78" x14ac:dyDescent="0.25">
      <c r="A45" s="254">
        <v>42</v>
      </c>
      <c r="B45" s="255" t="s">
        <v>220</v>
      </c>
      <c r="C45" s="256">
        <v>25</v>
      </c>
      <c r="D45" s="256">
        <v>1</v>
      </c>
      <c r="E45" s="256">
        <f t="shared" si="0"/>
        <v>25</v>
      </c>
      <c r="F45" s="122"/>
      <c r="G45" s="122"/>
      <c r="H45" s="257" t="s">
        <v>55</v>
      </c>
      <c r="I45" s="258">
        <f t="shared" si="1"/>
        <v>0.0035</v>
      </c>
      <c r="J45" s="3"/>
      <c r="K45" s="3"/>
      <c r="L45" s="3"/>
      <c r="M45" s="3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39"/>
      <c r="AX45" s="239"/>
      <c r="AY45" s="239"/>
      <c r="AZ45" s="239"/>
      <c r="BA45" s="239"/>
      <c r="BB45" s="239"/>
      <c r="BC45" s="239"/>
      <c r="BD45" s="239"/>
      <c r="BE45" s="239"/>
      <c r="BF45" s="239"/>
      <c r="BG45" s="239"/>
      <c r="BH45" s="239"/>
      <c r="BI45" s="239"/>
      <c r="BJ45" s="239"/>
      <c r="BK45" s="239"/>
      <c r="BL45" s="239"/>
      <c r="BM45" s="239"/>
      <c r="BN45" s="239"/>
      <c r="BO45" s="239"/>
      <c r="BP45" s="239"/>
      <c r="BQ45" s="239"/>
      <c r="BR45" s="239"/>
      <c r="BS45" s="239"/>
      <c r="BT45" s="239"/>
      <c r="BU45" s="239"/>
      <c r="BV45" s="239"/>
      <c r="BW45" s="239"/>
      <c r="BX45" s="239"/>
      <c r="BY45" s="239"/>
      <c r="BZ45" s="239"/>
    </row>
    <row r="46" ht="18" customHeight="1" spans="1:78" x14ac:dyDescent="0.25">
      <c r="A46" s="254">
        <v>43</v>
      </c>
      <c r="B46" s="255" t="s">
        <v>221</v>
      </c>
      <c r="C46" s="256">
        <v>0.5</v>
      </c>
      <c r="D46" s="256">
        <v>1</v>
      </c>
      <c r="E46" s="256">
        <f t="shared" si="0"/>
        <v>0.5</v>
      </c>
      <c r="F46" s="122"/>
      <c r="G46" s="122"/>
      <c r="H46" s="257" t="s">
        <v>56</v>
      </c>
      <c r="I46" s="258">
        <f t="shared" si="1"/>
        <v>0.0035</v>
      </c>
      <c r="J46" s="3"/>
      <c r="K46" s="3"/>
      <c r="L46" s="3"/>
      <c r="M46" s="3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39"/>
      <c r="AF46" s="239"/>
      <c r="AG46" s="239"/>
      <c r="AH46" s="239"/>
      <c r="AI46" s="239"/>
      <c r="AJ46" s="239"/>
      <c r="AK46" s="239"/>
      <c r="AL46" s="239"/>
      <c r="AM46" s="239"/>
      <c r="AN46" s="239"/>
      <c r="AO46" s="239"/>
      <c r="AP46" s="239"/>
      <c r="AQ46" s="239"/>
      <c r="AR46" s="239"/>
      <c r="AS46" s="239"/>
      <c r="AT46" s="239"/>
      <c r="AU46" s="239"/>
      <c r="AV46" s="239"/>
      <c r="AW46" s="239"/>
      <c r="AX46" s="239"/>
      <c r="AY46" s="239"/>
      <c r="AZ46" s="239"/>
      <c r="BA46" s="239"/>
      <c r="BB46" s="239"/>
      <c r="BC46" s="239"/>
      <c r="BD46" s="239"/>
      <c r="BE46" s="239"/>
      <c r="BF46" s="239"/>
      <c r="BG46" s="239"/>
      <c r="BH46" s="239"/>
      <c r="BI46" s="239"/>
      <c r="BJ46" s="239"/>
      <c r="BK46" s="239"/>
      <c r="BL46" s="239"/>
      <c r="BM46" s="239"/>
      <c r="BN46" s="239"/>
      <c r="BO46" s="239"/>
      <c r="BP46" s="239"/>
      <c r="BQ46" s="239"/>
      <c r="BR46" s="239"/>
      <c r="BS46" s="239"/>
      <c r="BT46" s="239"/>
      <c r="BU46" s="239"/>
      <c r="BV46" s="239"/>
      <c r="BW46" s="239"/>
      <c r="BX46" s="239"/>
      <c r="BY46" s="239"/>
      <c r="BZ46" s="239"/>
    </row>
    <row r="47" ht="18" customHeight="1" spans="1:78" x14ac:dyDescent="0.25">
      <c r="A47" s="254">
        <v>44</v>
      </c>
      <c r="B47" s="255" t="s">
        <v>222</v>
      </c>
      <c r="C47" s="256">
        <v>1</v>
      </c>
      <c r="D47" s="256">
        <v>1</v>
      </c>
      <c r="E47" s="256">
        <f t="shared" si="0"/>
        <v>1</v>
      </c>
      <c r="F47" s="122"/>
      <c r="G47" s="122"/>
      <c r="H47" s="257" t="s">
        <v>56</v>
      </c>
      <c r="I47" s="258">
        <f t="shared" si="1"/>
        <v>0.0035</v>
      </c>
      <c r="J47" s="3"/>
      <c r="K47" s="3"/>
      <c r="L47" s="3"/>
      <c r="M47" s="3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39"/>
      <c r="AQ47" s="239"/>
      <c r="AR47" s="239"/>
      <c r="AS47" s="239"/>
      <c r="AT47" s="239"/>
      <c r="AU47" s="239"/>
      <c r="AV47" s="239"/>
      <c r="AW47" s="239"/>
      <c r="AX47" s="239"/>
      <c r="AY47" s="239"/>
      <c r="AZ47" s="239"/>
      <c r="BA47" s="239"/>
      <c r="BB47" s="239"/>
      <c r="BC47" s="239"/>
      <c r="BD47" s="239"/>
      <c r="BE47" s="239"/>
      <c r="BF47" s="239"/>
      <c r="BG47" s="239"/>
      <c r="BH47" s="239"/>
      <c r="BI47" s="239"/>
      <c r="BJ47" s="239"/>
      <c r="BK47" s="239"/>
      <c r="BL47" s="239"/>
      <c r="BM47" s="239"/>
      <c r="BN47" s="239"/>
      <c r="BO47" s="239"/>
      <c r="BP47" s="239"/>
      <c r="BQ47" s="239"/>
      <c r="BR47" s="239"/>
      <c r="BS47" s="239"/>
      <c r="BT47" s="239"/>
      <c r="BU47" s="239"/>
      <c r="BV47" s="239"/>
      <c r="BW47" s="239"/>
      <c r="BX47" s="239"/>
      <c r="BY47" s="239"/>
      <c r="BZ47" s="239"/>
    </row>
    <row r="48" ht="18" customHeight="1" spans="1:78" x14ac:dyDescent="0.25">
      <c r="A48" s="259">
        <f>A47+1</f>
        <v>45</v>
      </c>
      <c r="B48" s="260" t="s">
        <v>71</v>
      </c>
      <c r="C48" s="261">
        <v>25</v>
      </c>
      <c r="D48" s="261">
        <v>1</v>
      </c>
      <c r="E48" s="261">
        <f>C48*D48</f>
        <v>25</v>
      </c>
      <c r="F48" s="130"/>
      <c r="G48" s="130"/>
      <c r="H48" s="262" t="s">
        <v>55</v>
      </c>
      <c r="I48" s="258">
        <f t="shared" si="1"/>
        <v>0.0035</v>
      </c>
      <c r="J48" s="3"/>
      <c r="K48" s="3"/>
      <c r="L48" s="3"/>
      <c r="M48" s="3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  <c r="AA48" s="239"/>
      <c r="AB48" s="239"/>
      <c r="AC48" s="239"/>
      <c r="AD48" s="239"/>
      <c r="AE48" s="239"/>
      <c r="AF48" s="239"/>
      <c r="AG48" s="239"/>
      <c r="AH48" s="239"/>
      <c r="AI48" s="239"/>
      <c r="AJ48" s="239"/>
      <c r="AK48" s="239"/>
      <c r="AL48" s="239"/>
      <c r="AM48" s="239"/>
      <c r="AN48" s="239"/>
      <c r="AO48" s="239"/>
      <c r="AP48" s="239"/>
      <c r="AQ48" s="239"/>
      <c r="AR48" s="239"/>
      <c r="AS48" s="239"/>
      <c r="AT48" s="239"/>
      <c r="AU48" s="239"/>
      <c r="AV48" s="239"/>
      <c r="AW48" s="239"/>
      <c r="AX48" s="239"/>
      <c r="AY48" s="239"/>
      <c r="AZ48" s="239"/>
      <c r="BA48" s="239"/>
      <c r="BB48" s="239"/>
      <c r="BC48" s="239"/>
      <c r="BD48" s="239"/>
      <c r="BE48" s="239"/>
      <c r="BF48" s="239"/>
      <c r="BG48" s="239"/>
      <c r="BH48" s="239"/>
      <c r="BI48" s="239"/>
      <c r="BJ48" s="239"/>
      <c r="BK48" s="239"/>
      <c r="BL48" s="239"/>
      <c r="BM48" s="239"/>
      <c r="BN48" s="239"/>
      <c r="BO48" s="239"/>
      <c r="BP48" s="239"/>
      <c r="BQ48" s="239"/>
      <c r="BR48" s="239"/>
      <c r="BS48" s="239"/>
      <c r="BT48" s="239"/>
      <c r="BU48" s="239"/>
      <c r="BV48" s="239"/>
      <c r="BW48" s="239"/>
      <c r="BX48" s="239"/>
      <c r="BY48" s="239"/>
      <c r="BZ48" s="239"/>
    </row>
    <row r="49" ht="16.8" customHeight="1" spans="1:7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/>
      <c r="AP49" s="239"/>
      <c r="AQ49" s="239"/>
      <c r="AR49" s="239"/>
      <c r="AS49" s="239"/>
      <c r="AT49" s="239"/>
      <c r="AU49" s="239"/>
      <c r="AV49" s="239"/>
      <c r="AW49" s="239"/>
      <c r="AX49" s="239"/>
      <c r="AY49" s="239"/>
      <c r="AZ49" s="239"/>
      <c r="BA49" s="239"/>
      <c r="BB49" s="239"/>
      <c r="BC49" s="239"/>
      <c r="BD49" s="239"/>
      <c r="BE49" s="239"/>
      <c r="BF49" s="239"/>
      <c r="BG49" s="239"/>
      <c r="BH49" s="239"/>
      <c r="BI49" s="239"/>
      <c r="BJ49" s="239"/>
      <c r="BK49" s="239"/>
      <c r="BL49" s="239"/>
      <c r="BM49" s="239"/>
      <c r="BN49" s="239"/>
      <c r="BO49" s="239"/>
      <c r="BP49" s="239"/>
      <c r="BQ49" s="239"/>
      <c r="BR49" s="239"/>
      <c r="BS49" s="239"/>
      <c r="BT49" s="239"/>
      <c r="BU49" s="239"/>
      <c r="BV49" s="239"/>
      <c r="BW49" s="239"/>
      <c r="BX49" s="239"/>
      <c r="BY49" s="239"/>
      <c r="BZ49" s="239"/>
    </row>
    <row r="50" ht="16.8" customHeight="1" spans="1:7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239"/>
      <c r="AP50" s="239"/>
      <c r="AQ50" s="239"/>
      <c r="AR50" s="239"/>
      <c r="AS50" s="239"/>
      <c r="AT50" s="239"/>
      <c r="AU50" s="239"/>
      <c r="AV50" s="239"/>
      <c r="AW50" s="239"/>
      <c r="AX50" s="239"/>
      <c r="AY50" s="239"/>
      <c r="AZ50" s="239"/>
      <c r="BA50" s="239"/>
      <c r="BB50" s="239"/>
      <c r="BC50" s="239"/>
      <c r="BD50" s="239"/>
      <c r="BE50" s="239"/>
      <c r="BF50" s="239"/>
      <c r="BG50" s="239"/>
      <c r="BH50" s="239"/>
      <c r="BI50" s="239"/>
      <c r="BJ50" s="239"/>
      <c r="BK50" s="239"/>
      <c r="BL50" s="239"/>
      <c r="BM50" s="239"/>
      <c r="BN50" s="239"/>
      <c r="BO50" s="239"/>
      <c r="BP50" s="239"/>
      <c r="BQ50" s="239"/>
      <c r="BR50" s="239"/>
      <c r="BS50" s="239"/>
      <c r="BT50" s="239"/>
      <c r="BU50" s="239"/>
      <c r="BV50" s="239"/>
      <c r="BW50" s="239"/>
      <c r="BX50" s="239"/>
      <c r="BY50" s="239"/>
      <c r="BZ50" s="239"/>
    </row>
    <row r="51" ht="16.8" customHeight="1" spans="1:7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239"/>
      <c r="AP51" s="239"/>
      <c r="AQ51" s="239"/>
      <c r="AR51" s="239"/>
      <c r="AS51" s="239"/>
      <c r="AT51" s="239"/>
      <c r="AU51" s="239"/>
      <c r="AV51" s="239"/>
      <c r="AW51" s="239"/>
      <c r="AX51" s="239"/>
      <c r="AY51" s="239"/>
      <c r="AZ51" s="239"/>
      <c r="BA51" s="239"/>
      <c r="BB51" s="239"/>
      <c r="BC51" s="239"/>
      <c r="BD51" s="239"/>
      <c r="BE51" s="239"/>
      <c r="BF51" s="239"/>
      <c r="BG51" s="239"/>
      <c r="BH51" s="239"/>
      <c r="BI51" s="239"/>
      <c r="BJ51" s="239"/>
      <c r="BK51" s="239"/>
      <c r="BL51" s="239"/>
      <c r="BM51" s="239"/>
      <c r="BN51" s="239"/>
      <c r="BO51" s="239"/>
      <c r="BP51" s="239"/>
      <c r="BQ51" s="239"/>
      <c r="BR51" s="239"/>
      <c r="BS51" s="239"/>
      <c r="BT51" s="239"/>
      <c r="BU51" s="239"/>
      <c r="BV51" s="239"/>
      <c r="BW51" s="239"/>
      <c r="BX51" s="239"/>
      <c r="BY51" s="239"/>
      <c r="BZ51" s="239"/>
    </row>
    <row r="52" ht="16.8" customHeight="1" spans="1:7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239"/>
      <c r="AP52" s="239"/>
      <c r="AQ52" s="239"/>
      <c r="AR52" s="239"/>
      <c r="AS52" s="239"/>
      <c r="AT52" s="239"/>
      <c r="AU52" s="239"/>
      <c r="AV52" s="239"/>
      <c r="AW52" s="239"/>
      <c r="AX52" s="239"/>
      <c r="AY52" s="239"/>
      <c r="AZ52" s="239"/>
      <c r="BA52" s="239"/>
      <c r="BB52" s="239"/>
      <c r="BC52" s="239"/>
      <c r="BD52" s="239"/>
      <c r="BE52" s="239"/>
      <c r="BF52" s="239"/>
      <c r="BG52" s="239"/>
      <c r="BH52" s="239"/>
      <c r="BI52" s="239"/>
      <c r="BJ52" s="239"/>
      <c r="BK52" s="239"/>
      <c r="BL52" s="239"/>
      <c r="BM52" s="239"/>
      <c r="BN52" s="239"/>
      <c r="BO52" s="239"/>
      <c r="BP52" s="239"/>
      <c r="BQ52" s="239"/>
      <c r="BR52" s="239"/>
      <c r="BS52" s="239"/>
      <c r="BT52" s="239"/>
      <c r="BU52" s="239"/>
      <c r="BV52" s="239"/>
      <c r="BW52" s="239"/>
      <c r="BX52" s="239"/>
      <c r="BY52" s="239"/>
      <c r="BZ52" s="239"/>
    </row>
    <row r="53" ht="16.8" customHeight="1" spans="1:7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  <c r="AT53" s="239"/>
      <c r="AU53" s="239"/>
      <c r="AV53" s="239"/>
      <c r="AW53" s="239"/>
      <c r="AX53" s="239"/>
      <c r="AY53" s="239"/>
      <c r="AZ53" s="239"/>
      <c r="BA53" s="239"/>
      <c r="BB53" s="239"/>
      <c r="BC53" s="239"/>
      <c r="BD53" s="239"/>
      <c r="BE53" s="239"/>
      <c r="BF53" s="239"/>
      <c r="BG53" s="239"/>
      <c r="BH53" s="239"/>
      <c r="BI53" s="239"/>
      <c r="BJ53" s="239"/>
      <c r="BK53" s="239"/>
      <c r="BL53" s="239"/>
      <c r="BM53" s="239"/>
      <c r="BN53" s="239"/>
      <c r="BO53" s="239"/>
      <c r="BP53" s="239"/>
      <c r="BQ53" s="239"/>
      <c r="BR53" s="239"/>
      <c r="BS53" s="239"/>
      <c r="BT53" s="239"/>
      <c r="BU53" s="239"/>
      <c r="BV53" s="239"/>
      <c r="BW53" s="239"/>
      <c r="BX53" s="239"/>
      <c r="BY53" s="239"/>
      <c r="BZ53" s="239"/>
    </row>
    <row r="54" ht="16.8" customHeight="1" spans="1:7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39"/>
      <c r="AI54" s="239"/>
      <c r="AJ54" s="239"/>
      <c r="AK54" s="239"/>
      <c r="AL54" s="239"/>
      <c r="AM54" s="239"/>
      <c r="AN54" s="239"/>
      <c r="AO54" s="239"/>
      <c r="AP54" s="239"/>
      <c r="AQ54" s="239"/>
      <c r="AR54" s="239"/>
      <c r="AS54" s="239"/>
      <c r="AT54" s="239"/>
      <c r="AU54" s="239"/>
      <c r="AV54" s="239"/>
      <c r="AW54" s="239"/>
      <c r="AX54" s="239"/>
      <c r="AY54" s="239"/>
      <c r="AZ54" s="239"/>
      <c r="BA54" s="239"/>
      <c r="BB54" s="239"/>
      <c r="BC54" s="239"/>
      <c r="BD54" s="239"/>
      <c r="BE54" s="239"/>
      <c r="BF54" s="239"/>
      <c r="BG54" s="239"/>
      <c r="BH54" s="239"/>
      <c r="BI54" s="239"/>
      <c r="BJ54" s="239"/>
      <c r="BK54" s="239"/>
      <c r="BL54" s="239"/>
      <c r="BM54" s="239"/>
      <c r="BN54" s="239"/>
      <c r="BO54" s="239"/>
      <c r="BP54" s="239"/>
      <c r="BQ54" s="239"/>
      <c r="BR54" s="239"/>
      <c r="BS54" s="239"/>
      <c r="BT54" s="239"/>
      <c r="BU54" s="239"/>
      <c r="BV54" s="239"/>
      <c r="BW54" s="239"/>
      <c r="BX54" s="239"/>
      <c r="BY54" s="239"/>
      <c r="BZ54" s="239"/>
    </row>
    <row r="55" ht="16.8" customHeight="1" spans="1:7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39"/>
      <c r="AM55" s="239"/>
      <c r="AN55" s="239"/>
      <c r="AO55" s="239"/>
      <c r="AP55" s="239"/>
      <c r="AQ55" s="239"/>
      <c r="AR55" s="239"/>
      <c r="AS55" s="239"/>
      <c r="AT55" s="239"/>
      <c r="AU55" s="239"/>
      <c r="AV55" s="239"/>
      <c r="AW55" s="239"/>
      <c r="AX55" s="239"/>
      <c r="AY55" s="239"/>
      <c r="AZ55" s="239"/>
      <c r="BA55" s="239"/>
      <c r="BB55" s="239"/>
      <c r="BC55" s="239"/>
      <c r="BD55" s="239"/>
      <c r="BE55" s="239"/>
      <c r="BF55" s="239"/>
      <c r="BG55" s="239"/>
      <c r="BH55" s="239"/>
      <c r="BI55" s="239"/>
      <c r="BJ55" s="239"/>
      <c r="BK55" s="239"/>
      <c r="BL55" s="239"/>
      <c r="BM55" s="239"/>
      <c r="BN55" s="239"/>
      <c r="BO55" s="239"/>
      <c r="BP55" s="239"/>
      <c r="BQ55" s="239"/>
      <c r="BR55" s="239"/>
      <c r="BS55" s="239"/>
      <c r="BT55" s="239"/>
      <c r="BU55" s="239"/>
      <c r="BV55" s="239"/>
      <c r="BW55" s="239"/>
      <c r="BX55" s="239"/>
      <c r="BY55" s="239"/>
      <c r="BZ55" s="239"/>
    </row>
    <row r="56" ht="16.8" customHeight="1" spans="1:7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  <c r="AA56" s="239"/>
      <c r="AB56" s="239"/>
      <c r="AC56" s="239"/>
      <c r="AD56" s="239"/>
      <c r="AE56" s="239"/>
      <c r="AF56" s="239"/>
      <c r="AG56" s="239"/>
      <c r="AH56" s="239"/>
      <c r="AI56" s="239"/>
      <c r="AJ56" s="239"/>
      <c r="AK56" s="239"/>
      <c r="AL56" s="239"/>
      <c r="AM56" s="239"/>
      <c r="AN56" s="239"/>
      <c r="AO56" s="239"/>
      <c r="AP56" s="239"/>
      <c r="AQ56" s="239"/>
      <c r="AR56" s="239"/>
      <c r="AS56" s="239"/>
      <c r="AT56" s="239"/>
      <c r="AU56" s="239"/>
      <c r="AV56" s="239"/>
      <c r="AW56" s="239"/>
      <c r="AX56" s="239"/>
      <c r="AY56" s="239"/>
      <c r="AZ56" s="239"/>
      <c r="BA56" s="239"/>
      <c r="BB56" s="239"/>
      <c r="BC56" s="239"/>
      <c r="BD56" s="239"/>
      <c r="BE56" s="239"/>
      <c r="BF56" s="239"/>
      <c r="BG56" s="239"/>
      <c r="BH56" s="239"/>
      <c r="BI56" s="239"/>
      <c r="BJ56" s="239"/>
      <c r="BK56" s="239"/>
      <c r="BL56" s="239"/>
      <c r="BM56" s="239"/>
      <c r="BN56" s="239"/>
      <c r="BO56" s="239"/>
      <c r="BP56" s="239"/>
      <c r="BQ56" s="239"/>
      <c r="BR56" s="239"/>
      <c r="BS56" s="239"/>
      <c r="BT56" s="239"/>
      <c r="BU56" s="239"/>
      <c r="BV56" s="239"/>
      <c r="BW56" s="239"/>
      <c r="BX56" s="239"/>
      <c r="BY56" s="239"/>
      <c r="BZ56" s="239"/>
    </row>
    <row r="57" ht="16.8" customHeight="1" spans="1:7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39"/>
      <c r="AF57" s="239"/>
      <c r="AG57" s="239"/>
      <c r="AH57" s="239"/>
      <c r="AI57" s="239"/>
      <c r="AJ57" s="239"/>
      <c r="AK57" s="239"/>
      <c r="AL57" s="239"/>
      <c r="AM57" s="239"/>
      <c r="AN57" s="239"/>
      <c r="AO57" s="239"/>
      <c r="AP57" s="239"/>
      <c r="AQ57" s="239"/>
      <c r="AR57" s="239"/>
      <c r="AS57" s="239"/>
      <c r="AT57" s="239"/>
      <c r="AU57" s="239"/>
      <c r="AV57" s="239"/>
      <c r="AW57" s="239"/>
      <c r="AX57" s="239"/>
      <c r="AY57" s="239"/>
      <c r="AZ57" s="239"/>
      <c r="BA57" s="239"/>
      <c r="BB57" s="239"/>
      <c r="BC57" s="239"/>
      <c r="BD57" s="239"/>
      <c r="BE57" s="239"/>
      <c r="BF57" s="239"/>
      <c r="BG57" s="239"/>
      <c r="BH57" s="239"/>
      <c r="BI57" s="239"/>
      <c r="BJ57" s="239"/>
      <c r="BK57" s="239"/>
      <c r="BL57" s="239"/>
      <c r="BM57" s="239"/>
      <c r="BN57" s="239"/>
      <c r="BO57" s="239"/>
      <c r="BP57" s="239"/>
      <c r="BQ57" s="239"/>
      <c r="BR57" s="239"/>
      <c r="BS57" s="239"/>
      <c r="BT57" s="239"/>
      <c r="BU57" s="239"/>
      <c r="BV57" s="239"/>
      <c r="BW57" s="239"/>
      <c r="BX57" s="239"/>
      <c r="BY57" s="239"/>
      <c r="BZ57" s="239"/>
    </row>
    <row r="58" ht="16.8" customHeight="1" spans="1:7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  <c r="AF58" s="239"/>
      <c r="AG58" s="239"/>
      <c r="AH58" s="239"/>
      <c r="AI58" s="239"/>
      <c r="AJ58" s="239"/>
      <c r="AK58" s="239"/>
      <c r="AL58" s="239"/>
      <c r="AM58" s="239"/>
      <c r="AN58" s="239"/>
      <c r="AO58" s="239"/>
      <c r="AP58" s="239"/>
      <c r="AQ58" s="239"/>
      <c r="AR58" s="239"/>
      <c r="AS58" s="239"/>
      <c r="AT58" s="239"/>
      <c r="AU58" s="239"/>
      <c r="AV58" s="239"/>
      <c r="AW58" s="239"/>
      <c r="AX58" s="239"/>
      <c r="AY58" s="239"/>
      <c r="AZ58" s="239"/>
      <c r="BA58" s="239"/>
      <c r="BB58" s="239"/>
      <c r="BC58" s="239"/>
      <c r="BD58" s="239"/>
      <c r="BE58" s="239"/>
      <c r="BF58" s="239"/>
      <c r="BG58" s="239"/>
      <c r="BH58" s="239"/>
      <c r="BI58" s="239"/>
      <c r="BJ58" s="239"/>
      <c r="BK58" s="239"/>
      <c r="BL58" s="239"/>
      <c r="BM58" s="239"/>
      <c r="BN58" s="239"/>
      <c r="BO58" s="239"/>
      <c r="BP58" s="239"/>
      <c r="BQ58" s="239"/>
      <c r="BR58" s="239"/>
      <c r="BS58" s="239"/>
      <c r="BT58" s="239"/>
      <c r="BU58" s="239"/>
      <c r="BV58" s="239"/>
      <c r="BW58" s="239"/>
      <c r="BX58" s="239"/>
      <c r="BY58" s="239"/>
      <c r="BZ58" s="239"/>
    </row>
    <row r="59" ht="16.8" customHeight="1" spans="1:7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  <c r="AM59" s="239"/>
      <c r="AN59" s="239"/>
      <c r="AO59" s="239"/>
      <c r="AP59" s="239"/>
      <c r="AQ59" s="239"/>
      <c r="AR59" s="239"/>
      <c r="AS59" s="239"/>
      <c r="AT59" s="239"/>
      <c r="AU59" s="239"/>
      <c r="AV59" s="239"/>
      <c r="AW59" s="239"/>
      <c r="AX59" s="239"/>
      <c r="AY59" s="239"/>
      <c r="AZ59" s="239"/>
      <c r="BA59" s="239"/>
      <c r="BB59" s="239"/>
      <c r="BC59" s="239"/>
      <c r="BD59" s="239"/>
      <c r="BE59" s="239"/>
      <c r="BF59" s="239"/>
      <c r="BG59" s="239"/>
      <c r="BH59" s="239"/>
      <c r="BI59" s="239"/>
      <c r="BJ59" s="239"/>
      <c r="BK59" s="239"/>
      <c r="BL59" s="239"/>
      <c r="BM59" s="239"/>
      <c r="BN59" s="239"/>
      <c r="BO59" s="239"/>
      <c r="BP59" s="239"/>
      <c r="BQ59" s="239"/>
      <c r="BR59" s="239"/>
      <c r="BS59" s="239"/>
      <c r="BT59" s="239"/>
      <c r="BU59" s="239"/>
      <c r="BV59" s="239"/>
      <c r="BW59" s="239"/>
      <c r="BX59" s="239"/>
      <c r="BY59" s="239"/>
      <c r="BZ59" s="239"/>
    </row>
    <row r="60" ht="16.8" customHeight="1" spans="1:7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  <c r="AA60" s="239"/>
      <c r="AB60" s="239"/>
      <c r="AC60" s="239"/>
      <c r="AD60" s="239"/>
      <c r="AE60" s="239"/>
      <c r="AF60" s="239"/>
      <c r="AG60" s="239"/>
      <c r="AH60" s="239"/>
      <c r="AI60" s="239"/>
      <c r="AJ60" s="239"/>
      <c r="AK60" s="239"/>
      <c r="AL60" s="239"/>
      <c r="AM60" s="239"/>
      <c r="AN60" s="239"/>
      <c r="AO60" s="239"/>
      <c r="AP60" s="239"/>
      <c r="AQ60" s="239"/>
      <c r="AR60" s="239"/>
      <c r="AS60" s="239"/>
      <c r="AT60" s="239"/>
      <c r="AU60" s="239"/>
      <c r="AV60" s="239"/>
      <c r="AW60" s="239"/>
      <c r="AX60" s="239"/>
      <c r="AY60" s="239"/>
      <c r="AZ60" s="239"/>
      <c r="BA60" s="239"/>
      <c r="BB60" s="239"/>
      <c r="BC60" s="239"/>
      <c r="BD60" s="239"/>
      <c r="BE60" s="239"/>
      <c r="BF60" s="239"/>
      <c r="BG60" s="239"/>
      <c r="BH60" s="239"/>
      <c r="BI60" s="239"/>
      <c r="BJ60" s="239"/>
      <c r="BK60" s="239"/>
      <c r="BL60" s="239"/>
      <c r="BM60" s="239"/>
      <c r="BN60" s="239"/>
      <c r="BO60" s="239"/>
      <c r="BP60" s="239"/>
      <c r="BQ60" s="239"/>
      <c r="BR60" s="239"/>
      <c r="BS60" s="239"/>
      <c r="BT60" s="239"/>
      <c r="BU60" s="239"/>
      <c r="BV60" s="239"/>
      <c r="BW60" s="239"/>
      <c r="BX60" s="239"/>
      <c r="BY60" s="239"/>
      <c r="BZ60" s="239"/>
    </row>
    <row r="61" ht="16.8" customHeight="1" spans="1:78" x14ac:dyDescent="0.25">
      <c r="A61" s="239"/>
      <c r="B61" s="239"/>
      <c r="C61" s="239"/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  <c r="AM61" s="239"/>
      <c r="AN61" s="239"/>
      <c r="AO61" s="239"/>
      <c r="AP61" s="239"/>
      <c r="AQ61" s="239"/>
      <c r="AR61" s="239"/>
      <c r="AS61" s="239"/>
      <c r="AT61" s="239"/>
      <c r="AU61" s="239"/>
      <c r="AV61" s="239"/>
      <c r="AW61" s="239"/>
      <c r="AX61" s="239"/>
      <c r="AY61" s="239"/>
      <c r="AZ61" s="239"/>
      <c r="BA61" s="239"/>
      <c r="BB61" s="239"/>
      <c r="BC61" s="239"/>
      <c r="BD61" s="239"/>
      <c r="BE61" s="239"/>
      <c r="BF61" s="239"/>
      <c r="BG61" s="239"/>
      <c r="BH61" s="239"/>
      <c r="BI61" s="239"/>
      <c r="BJ61" s="239"/>
      <c r="BK61" s="239"/>
      <c r="BL61" s="239"/>
      <c r="BM61" s="239"/>
      <c r="BN61" s="239"/>
      <c r="BO61" s="239"/>
      <c r="BP61" s="239"/>
      <c r="BQ61" s="239"/>
      <c r="BR61" s="239"/>
      <c r="BS61" s="239"/>
      <c r="BT61" s="239"/>
      <c r="BU61" s="239"/>
      <c r="BV61" s="239"/>
      <c r="BW61" s="239"/>
      <c r="BX61" s="239"/>
      <c r="BY61" s="239"/>
      <c r="BZ61" s="239"/>
    </row>
    <row r="62" ht="16.8" customHeight="1" spans="1:78" x14ac:dyDescent="0.25">
      <c r="A62" s="239"/>
      <c r="B62" s="239"/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/>
      <c r="AX62" s="239"/>
      <c r="AY62" s="239"/>
      <c r="AZ62" s="239"/>
      <c r="BA62" s="239"/>
      <c r="BB62" s="239"/>
      <c r="BC62" s="239"/>
      <c r="BD62" s="239"/>
      <c r="BE62" s="239"/>
      <c r="BF62" s="239"/>
      <c r="BG62" s="239"/>
      <c r="BH62" s="239"/>
      <c r="BI62" s="239"/>
      <c r="BJ62" s="239"/>
      <c r="BK62" s="239"/>
      <c r="BL62" s="239"/>
      <c r="BM62" s="239"/>
      <c r="BN62" s="239"/>
      <c r="BO62" s="239"/>
      <c r="BP62" s="239"/>
      <c r="BQ62" s="239"/>
      <c r="BR62" s="239"/>
      <c r="BS62" s="239"/>
      <c r="BT62" s="239"/>
      <c r="BU62" s="239"/>
      <c r="BV62" s="239"/>
      <c r="BW62" s="239"/>
      <c r="BX62" s="239"/>
      <c r="BY62" s="239"/>
      <c r="BZ62" s="239"/>
    </row>
    <row r="63" ht="16.8" customHeight="1" spans="1:78" x14ac:dyDescent="0.25">
      <c r="A63" s="239"/>
      <c r="B63" s="239"/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239"/>
      <c r="AP63" s="239"/>
      <c r="AQ63" s="239"/>
      <c r="AR63" s="239"/>
      <c r="AS63" s="239"/>
      <c r="AT63" s="239"/>
      <c r="AU63" s="239"/>
      <c r="AV63" s="239"/>
      <c r="AW63" s="239"/>
      <c r="AX63" s="239"/>
      <c r="AY63" s="239"/>
      <c r="AZ63" s="239"/>
      <c r="BA63" s="239"/>
      <c r="BB63" s="239"/>
      <c r="BC63" s="239"/>
      <c r="BD63" s="239"/>
      <c r="BE63" s="239"/>
      <c r="BF63" s="239"/>
      <c r="BG63" s="239"/>
      <c r="BH63" s="239"/>
      <c r="BI63" s="239"/>
      <c r="BJ63" s="239"/>
      <c r="BK63" s="239"/>
      <c r="BL63" s="239"/>
      <c r="BM63" s="239"/>
      <c r="BN63" s="239"/>
      <c r="BO63" s="239"/>
      <c r="BP63" s="239"/>
      <c r="BQ63" s="239"/>
      <c r="BR63" s="239"/>
      <c r="BS63" s="239"/>
      <c r="BT63" s="239"/>
      <c r="BU63" s="239"/>
      <c r="BV63" s="239"/>
      <c r="BW63" s="239"/>
      <c r="BX63" s="239"/>
      <c r="BY63" s="239"/>
      <c r="BZ63" s="239"/>
    </row>
    <row r="64" ht="16.8" customHeight="1" spans="1:78" x14ac:dyDescent="0.25">
      <c r="A64" s="239"/>
      <c r="B64" s="239"/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39"/>
      <c r="AO64" s="239"/>
      <c r="AP64" s="239"/>
      <c r="AQ64" s="239"/>
      <c r="AR64" s="239"/>
      <c r="AS64" s="239"/>
      <c r="AT64" s="239"/>
      <c r="AU64" s="239"/>
      <c r="AV64" s="239"/>
      <c r="AW64" s="239"/>
      <c r="AX64" s="239"/>
      <c r="AY64" s="239"/>
      <c r="AZ64" s="239"/>
      <c r="BA64" s="239"/>
      <c r="BB64" s="239"/>
      <c r="BC64" s="239"/>
      <c r="BD64" s="239"/>
      <c r="BE64" s="239"/>
      <c r="BF64" s="239"/>
      <c r="BG64" s="239"/>
      <c r="BH64" s="239"/>
      <c r="BI64" s="239"/>
      <c r="BJ64" s="239"/>
      <c r="BK64" s="239"/>
      <c r="BL64" s="239"/>
      <c r="BM64" s="239"/>
      <c r="BN64" s="239"/>
      <c r="BO64" s="239"/>
      <c r="BP64" s="239"/>
      <c r="BQ64" s="239"/>
      <c r="BR64" s="239"/>
      <c r="BS64" s="239"/>
      <c r="BT64" s="239"/>
      <c r="BU64" s="239"/>
      <c r="BV64" s="239"/>
      <c r="BW64" s="239"/>
      <c r="BX64" s="239"/>
      <c r="BY64" s="239"/>
      <c r="BZ64" s="239"/>
    </row>
    <row r="65" ht="16.8" customHeight="1" spans="1:78" x14ac:dyDescent="0.25">
      <c r="A65" s="239"/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39"/>
      <c r="AO65" s="239"/>
      <c r="AP65" s="239"/>
      <c r="AQ65" s="239"/>
      <c r="AR65" s="239"/>
      <c r="AS65" s="239"/>
      <c r="AT65" s="239"/>
      <c r="AU65" s="239"/>
      <c r="AV65" s="239"/>
      <c r="AW65" s="239"/>
      <c r="AX65" s="239"/>
      <c r="AY65" s="239"/>
      <c r="AZ65" s="239"/>
      <c r="BA65" s="239"/>
      <c r="BB65" s="239"/>
      <c r="BC65" s="239"/>
      <c r="BD65" s="239"/>
      <c r="BE65" s="239"/>
      <c r="BF65" s="239"/>
      <c r="BG65" s="239"/>
      <c r="BH65" s="239"/>
      <c r="BI65" s="239"/>
      <c r="BJ65" s="239"/>
      <c r="BK65" s="239"/>
      <c r="BL65" s="239"/>
      <c r="BM65" s="239"/>
      <c r="BN65" s="239"/>
      <c r="BO65" s="239"/>
      <c r="BP65" s="239"/>
      <c r="BQ65" s="239"/>
      <c r="BR65" s="239"/>
      <c r="BS65" s="239"/>
      <c r="BT65" s="239"/>
      <c r="BU65" s="239"/>
      <c r="BV65" s="239"/>
      <c r="BW65" s="239"/>
      <c r="BX65" s="239"/>
      <c r="BY65" s="239"/>
      <c r="BZ65" s="239"/>
    </row>
    <row r="66" ht="16.8" customHeight="1" spans="1:78" x14ac:dyDescent="0.25">
      <c r="A66" s="239"/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39"/>
      <c r="AO66" s="239"/>
      <c r="AP66" s="239"/>
      <c r="AQ66" s="239"/>
      <c r="AR66" s="239"/>
      <c r="AS66" s="239"/>
      <c r="AT66" s="239"/>
      <c r="AU66" s="239"/>
      <c r="AV66" s="239"/>
      <c r="AW66" s="239"/>
      <c r="AX66" s="239"/>
      <c r="AY66" s="239"/>
      <c r="AZ66" s="239"/>
      <c r="BA66" s="239"/>
      <c r="BB66" s="239"/>
      <c r="BC66" s="239"/>
      <c r="BD66" s="239"/>
      <c r="BE66" s="239"/>
      <c r="BF66" s="239"/>
      <c r="BG66" s="239"/>
      <c r="BH66" s="239"/>
      <c r="BI66" s="239"/>
      <c r="BJ66" s="239"/>
      <c r="BK66" s="239"/>
      <c r="BL66" s="239"/>
      <c r="BM66" s="239"/>
      <c r="BN66" s="239"/>
      <c r="BO66" s="239"/>
      <c r="BP66" s="239"/>
      <c r="BQ66" s="239"/>
      <c r="BR66" s="239"/>
      <c r="BS66" s="239"/>
      <c r="BT66" s="239"/>
      <c r="BU66" s="239"/>
      <c r="BV66" s="239"/>
      <c r="BW66" s="239"/>
      <c r="BX66" s="239"/>
      <c r="BY66" s="239"/>
      <c r="BZ66" s="239"/>
    </row>
    <row r="67" ht="16.8" customHeight="1" spans="1:78" x14ac:dyDescent="0.25">
      <c r="A67" s="239"/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239"/>
      <c r="AP67" s="239"/>
      <c r="AQ67" s="239"/>
      <c r="AR67" s="239"/>
      <c r="AS67" s="239"/>
      <c r="AT67" s="239"/>
      <c r="AU67" s="239"/>
      <c r="AV67" s="239"/>
      <c r="AW67" s="239"/>
      <c r="AX67" s="239"/>
      <c r="AY67" s="239"/>
      <c r="AZ67" s="239"/>
      <c r="BA67" s="239"/>
      <c r="BB67" s="239"/>
      <c r="BC67" s="239"/>
      <c r="BD67" s="239"/>
      <c r="BE67" s="239"/>
      <c r="BF67" s="239"/>
      <c r="BG67" s="239"/>
      <c r="BH67" s="239"/>
      <c r="BI67" s="239"/>
      <c r="BJ67" s="239"/>
      <c r="BK67" s="239"/>
      <c r="BL67" s="239"/>
      <c r="BM67" s="239"/>
      <c r="BN67" s="239"/>
      <c r="BO67" s="239"/>
      <c r="BP67" s="239"/>
      <c r="BQ67" s="239"/>
      <c r="BR67" s="239"/>
      <c r="BS67" s="239"/>
      <c r="BT67" s="239"/>
      <c r="BU67" s="239"/>
      <c r="BV67" s="239"/>
      <c r="BW67" s="239"/>
      <c r="BX67" s="239"/>
      <c r="BY67" s="239"/>
      <c r="BZ67" s="239"/>
    </row>
    <row r="68" ht="16.8" customHeight="1" spans="1:78" x14ac:dyDescent="0.25">
      <c r="A68" s="239"/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239"/>
      <c r="AP68" s="239"/>
      <c r="AQ68" s="239"/>
      <c r="AR68" s="239"/>
      <c r="AS68" s="239"/>
      <c r="AT68" s="239"/>
      <c r="AU68" s="239"/>
      <c r="AV68" s="239"/>
      <c r="AW68" s="239"/>
      <c r="AX68" s="239"/>
      <c r="AY68" s="239"/>
      <c r="AZ68" s="239"/>
      <c r="BA68" s="239"/>
      <c r="BB68" s="239"/>
      <c r="BC68" s="239"/>
      <c r="BD68" s="239"/>
      <c r="BE68" s="239"/>
      <c r="BF68" s="239"/>
      <c r="BG68" s="239"/>
      <c r="BH68" s="239"/>
      <c r="BI68" s="239"/>
      <c r="BJ68" s="239"/>
      <c r="BK68" s="239"/>
      <c r="BL68" s="239"/>
      <c r="BM68" s="239"/>
      <c r="BN68" s="239"/>
      <c r="BO68" s="239"/>
      <c r="BP68" s="239"/>
      <c r="BQ68" s="239"/>
      <c r="BR68" s="239"/>
      <c r="BS68" s="239"/>
      <c r="BT68" s="239"/>
      <c r="BU68" s="239"/>
      <c r="BV68" s="239"/>
      <c r="BW68" s="239"/>
      <c r="BX68" s="239"/>
      <c r="BY68" s="239"/>
      <c r="BZ68" s="239"/>
    </row>
    <row r="69" ht="16.8" customHeight="1" spans="1:78" x14ac:dyDescent="0.25">
      <c r="A69" s="239"/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239"/>
      <c r="AP69" s="239"/>
      <c r="AQ69" s="239"/>
      <c r="AR69" s="239"/>
      <c r="AS69" s="239"/>
      <c r="AT69" s="239"/>
      <c r="AU69" s="239"/>
      <c r="AV69" s="239"/>
      <c r="AW69" s="239"/>
      <c r="AX69" s="239"/>
      <c r="AY69" s="239"/>
      <c r="AZ69" s="239"/>
      <c r="BA69" s="239"/>
      <c r="BB69" s="239"/>
      <c r="BC69" s="239"/>
      <c r="BD69" s="239"/>
      <c r="BE69" s="239"/>
      <c r="BF69" s="239"/>
      <c r="BG69" s="239"/>
      <c r="BH69" s="239"/>
      <c r="BI69" s="239"/>
      <c r="BJ69" s="239"/>
      <c r="BK69" s="239"/>
      <c r="BL69" s="239"/>
      <c r="BM69" s="239"/>
      <c r="BN69" s="239"/>
      <c r="BO69" s="239"/>
      <c r="BP69" s="239"/>
      <c r="BQ69" s="239"/>
      <c r="BR69" s="239"/>
      <c r="BS69" s="239"/>
      <c r="BT69" s="239"/>
      <c r="BU69" s="239"/>
      <c r="BV69" s="239"/>
      <c r="BW69" s="239"/>
      <c r="BX69" s="239"/>
      <c r="BY69" s="239"/>
      <c r="BZ69" s="239"/>
    </row>
    <row r="70" ht="16.8" customHeight="1" spans="1:78" x14ac:dyDescent="0.25">
      <c r="A70" s="239"/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39"/>
      <c r="AO70" s="239"/>
      <c r="AP70" s="239"/>
      <c r="AQ70" s="239"/>
      <c r="AR70" s="239"/>
      <c r="AS70" s="239"/>
      <c r="AT70" s="239"/>
      <c r="AU70" s="239"/>
      <c r="AV70" s="239"/>
      <c r="AW70" s="239"/>
      <c r="AX70" s="239"/>
      <c r="AY70" s="239"/>
      <c r="AZ70" s="239"/>
      <c r="BA70" s="239"/>
      <c r="BB70" s="239"/>
      <c r="BC70" s="239"/>
      <c r="BD70" s="239"/>
      <c r="BE70" s="239"/>
      <c r="BF70" s="239"/>
      <c r="BG70" s="239"/>
      <c r="BH70" s="239"/>
      <c r="BI70" s="239"/>
      <c r="BJ70" s="239"/>
      <c r="BK70" s="239"/>
      <c r="BL70" s="239"/>
      <c r="BM70" s="239"/>
      <c r="BN70" s="239"/>
      <c r="BO70" s="239"/>
      <c r="BP70" s="239"/>
      <c r="BQ70" s="239"/>
      <c r="BR70" s="239"/>
      <c r="BS70" s="239"/>
      <c r="BT70" s="239"/>
      <c r="BU70" s="239"/>
      <c r="BV70" s="239"/>
      <c r="BW70" s="239"/>
      <c r="BX70" s="239"/>
      <c r="BY70" s="239"/>
      <c r="BZ70" s="239"/>
    </row>
    <row r="71" ht="16.8" customHeight="1" spans="1:78" x14ac:dyDescent="0.25">
      <c r="A71" s="239"/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239"/>
      <c r="AJ71" s="239"/>
      <c r="AK71" s="239"/>
      <c r="AL71" s="239"/>
      <c r="AM71" s="239"/>
      <c r="AN71" s="239"/>
      <c r="AO71" s="239"/>
      <c r="AP71" s="239"/>
      <c r="AQ71" s="239"/>
      <c r="AR71" s="239"/>
      <c r="AS71" s="239"/>
      <c r="AT71" s="239"/>
      <c r="AU71" s="239"/>
      <c r="AV71" s="239"/>
      <c r="AW71" s="239"/>
      <c r="AX71" s="239"/>
      <c r="AY71" s="239"/>
      <c r="AZ71" s="239"/>
      <c r="BA71" s="239"/>
      <c r="BB71" s="239"/>
      <c r="BC71" s="239"/>
      <c r="BD71" s="239"/>
      <c r="BE71" s="239"/>
      <c r="BF71" s="239"/>
      <c r="BG71" s="239"/>
      <c r="BH71" s="239"/>
      <c r="BI71" s="239"/>
      <c r="BJ71" s="239"/>
      <c r="BK71" s="239"/>
      <c r="BL71" s="239"/>
      <c r="BM71" s="239"/>
      <c r="BN71" s="239"/>
      <c r="BO71" s="239"/>
      <c r="BP71" s="239"/>
      <c r="BQ71" s="239"/>
      <c r="BR71" s="239"/>
      <c r="BS71" s="239"/>
      <c r="BT71" s="239"/>
      <c r="BU71" s="239"/>
      <c r="BV71" s="239"/>
      <c r="BW71" s="239"/>
      <c r="BX71" s="239"/>
      <c r="BY71" s="239"/>
      <c r="BZ71" s="239"/>
    </row>
    <row r="72" ht="16.8" customHeight="1" spans="1:78" x14ac:dyDescent="0.25">
      <c r="A72" s="239"/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  <c r="AI72" s="239"/>
      <c r="AJ72" s="239"/>
      <c r="AK72" s="239"/>
      <c r="AL72" s="239"/>
      <c r="AM72" s="239"/>
      <c r="AN72" s="239"/>
      <c r="AO72" s="239"/>
      <c r="AP72" s="239"/>
      <c r="AQ72" s="239"/>
      <c r="AR72" s="239"/>
      <c r="AS72" s="239"/>
      <c r="AT72" s="239"/>
      <c r="AU72" s="239"/>
      <c r="AV72" s="239"/>
      <c r="AW72" s="239"/>
      <c r="AX72" s="239"/>
      <c r="AY72" s="239"/>
      <c r="AZ72" s="239"/>
      <c r="BA72" s="239"/>
      <c r="BB72" s="239"/>
      <c r="BC72" s="239"/>
      <c r="BD72" s="239"/>
      <c r="BE72" s="239"/>
      <c r="BF72" s="239"/>
      <c r="BG72" s="239"/>
      <c r="BH72" s="239"/>
      <c r="BI72" s="239"/>
      <c r="BJ72" s="239"/>
      <c r="BK72" s="239"/>
      <c r="BL72" s="239"/>
      <c r="BM72" s="239"/>
      <c r="BN72" s="239"/>
      <c r="BO72" s="239"/>
      <c r="BP72" s="239"/>
      <c r="BQ72" s="239"/>
      <c r="BR72" s="239"/>
      <c r="BS72" s="239"/>
      <c r="BT72" s="239"/>
      <c r="BU72" s="239"/>
      <c r="BV72" s="239"/>
      <c r="BW72" s="239"/>
      <c r="BX72" s="239"/>
      <c r="BY72" s="239"/>
      <c r="BZ72" s="239"/>
    </row>
    <row r="73" ht="16.8" customHeight="1" spans="1:78" x14ac:dyDescent="0.25">
      <c r="A73" s="239"/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  <c r="AI73" s="239"/>
      <c r="AJ73" s="239"/>
      <c r="AK73" s="239"/>
      <c r="AL73" s="239"/>
      <c r="AM73" s="239"/>
      <c r="AN73" s="239"/>
      <c r="AO73" s="239"/>
      <c r="AP73" s="239"/>
      <c r="AQ73" s="239"/>
      <c r="AR73" s="239"/>
      <c r="AS73" s="239"/>
      <c r="AT73" s="239"/>
      <c r="AU73" s="239"/>
      <c r="AV73" s="239"/>
      <c r="AW73" s="239"/>
      <c r="AX73" s="239"/>
      <c r="AY73" s="239"/>
      <c r="AZ73" s="239"/>
      <c r="BA73" s="239"/>
      <c r="BB73" s="239"/>
      <c r="BC73" s="239"/>
      <c r="BD73" s="239"/>
      <c r="BE73" s="239"/>
      <c r="BF73" s="239"/>
      <c r="BG73" s="239"/>
      <c r="BH73" s="239"/>
      <c r="BI73" s="239"/>
      <c r="BJ73" s="239"/>
      <c r="BK73" s="239"/>
      <c r="BL73" s="239"/>
      <c r="BM73" s="239"/>
      <c r="BN73" s="239"/>
      <c r="BO73" s="239"/>
      <c r="BP73" s="239"/>
      <c r="BQ73" s="239"/>
      <c r="BR73" s="239"/>
      <c r="BS73" s="239"/>
      <c r="BT73" s="239"/>
      <c r="BU73" s="239"/>
      <c r="BV73" s="239"/>
      <c r="BW73" s="239"/>
      <c r="BX73" s="239"/>
      <c r="BY73" s="239"/>
      <c r="BZ73" s="239"/>
    </row>
    <row r="74" ht="16.8" customHeight="1" spans="1:78" x14ac:dyDescent="0.25">
      <c r="A74" s="239"/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  <c r="AA74" s="239"/>
      <c r="AB74" s="239"/>
      <c r="AC74" s="239"/>
      <c r="AD74" s="239"/>
      <c r="AE74" s="239"/>
      <c r="AF74" s="239"/>
      <c r="AG74" s="239"/>
      <c r="AH74" s="239"/>
      <c r="AI74" s="239"/>
      <c r="AJ74" s="239"/>
      <c r="AK74" s="239"/>
      <c r="AL74" s="239"/>
      <c r="AM74" s="239"/>
      <c r="AN74" s="239"/>
      <c r="AO74" s="239"/>
      <c r="AP74" s="239"/>
      <c r="AQ74" s="239"/>
      <c r="AR74" s="239"/>
      <c r="AS74" s="239"/>
      <c r="AT74" s="239"/>
      <c r="AU74" s="239"/>
      <c r="AV74" s="239"/>
      <c r="AW74" s="239"/>
      <c r="AX74" s="239"/>
      <c r="AY74" s="239"/>
      <c r="AZ74" s="239"/>
      <c r="BA74" s="239"/>
      <c r="BB74" s="239"/>
      <c r="BC74" s="239"/>
      <c r="BD74" s="239"/>
      <c r="BE74" s="239"/>
      <c r="BF74" s="239"/>
      <c r="BG74" s="239"/>
      <c r="BH74" s="239"/>
      <c r="BI74" s="239"/>
      <c r="BJ74" s="239"/>
      <c r="BK74" s="239"/>
      <c r="BL74" s="239"/>
      <c r="BM74" s="239"/>
      <c r="BN74" s="239"/>
      <c r="BO74" s="239"/>
      <c r="BP74" s="239"/>
      <c r="BQ74" s="239"/>
      <c r="BR74" s="239"/>
      <c r="BS74" s="239"/>
      <c r="BT74" s="239"/>
      <c r="BU74" s="239"/>
      <c r="BV74" s="239"/>
      <c r="BW74" s="239"/>
      <c r="BX74" s="239"/>
      <c r="BY74" s="239"/>
      <c r="BZ74" s="239"/>
    </row>
    <row r="75" ht="16.8" customHeight="1" spans="1:78" x14ac:dyDescent="0.25">
      <c r="A75" s="239"/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  <c r="AM75" s="239"/>
      <c r="AN75" s="239"/>
      <c r="AO75" s="239"/>
      <c r="AP75" s="239"/>
      <c r="AQ75" s="239"/>
      <c r="AR75" s="239"/>
      <c r="AS75" s="239"/>
      <c r="AT75" s="239"/>
      <c r="AU75" s="239"/>
      <c r="AV75" s="239"/>
      <c r="AW75" s="239"/>
      <c r="AX75" s="239"/>
      <c r="AY75" s="239"/>
      <c r="AZ75" s="239"/>
      <c r="BA75" s="239"/>
      <c r="BB75" s="239"/>
      <c r="BC75" s="239"/>
      <c r="BD75" s="239"/>
      <c r="BE75" s="239"/>
      <c r="BF75" s="239"/>
      <c r="BG75" s="239"/>
      <c r="BH75" s="239"/>
      <c r="BI75" s="239"/>
      <c r="BJ75" s="239"/>
      <c r="BK75" s="239"/>
      <c r="BL75" s="239"/>
      <c r="BM75" s="239"/>
      <c r="BN75" s="239"/>
      <c r="BO75" s="239"/>
      <c r="BP75" s="239"/>
      <c r="BQ75" s="239"/>
      <c r="BR75" s="239"/>
      <c r="BS75" s="239"/>
      <c r="BT75" s="239"/>
      <c r="BU75" s="239"/>
      <c r="BV75" s="239"/>
      <c r="BW75" s="239"/>
      <c r="BX75" s="239"/>
      <c r="BY75" s="239"/>
      <c r="BZ75" s="239"/>
    </row>
    <row r="76" ht="16.8" customHeight="1" spans="1:78" x14ac:dyDescent="0.25">
      <c r="A76" s="239"/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39"/>
      <c r="AI76" s="239"/>
      <c r="AJ76" s="239"/>
      <c r="AK76" s="239"/>
      <c r="AL76" s="239"/>
      <c r="AM76" s="239"/>
      <c r="AN76" s="239"/>
      <c r="AO76" s="239"/>
      <c r="AP76" s="239"/>
      <c r="AQ76" s="239"/>
      <c r="AR76" s="239"/>
      <c r="AS76" s="239"/>
      <c r="AT76" s="239"/>
      <c r="AU76" s="239"/>
      <c r="AV76" s="239"/>
      <c r="AW76" s="239"/>
      <c r="AX76" s="239"/>
      <c r="AY76" s="239"/>
      <c r="AZ76" s="239"/>
      <c r="BA76" s="239"/>
      <c r="BB76" s="239"/>
      <c r="BC76" s="239"/>
      <c r="BD76" s="239"/>
      <c r="BE76" s="239"/>
      <c r="BF76" s="239"/>
      <c r="BG76" s="239"/>
      <c r="BH76" s="239"/>
      <c r="BI76" s="239"/>
      <c r="BJ76" s="239"/>
      <c r="BK76" s="239"/>
      <c r="BL76" s="239"/>
      <c r="BM76" s="239"/>
      <c r="BN76" s="239"/>
      <c r="BO76" s="239"/>
      <c r="BP76" s="239"/>
      <c r="BQ76" s="239"/>
      <c r="BR76" s="239"/>
      <c r="BS76" s="239"/>
      <c r="BT76" s="239"/>
      <c r="BU76" s="239"/>
      <c r="BV76" s="239"/>
      <c r="BW76" s="239"/>
      <c r="BX76" s="239"/>
      <c r="BY76" s="239"/>
      <c r="BZ76" s="239"/>
    </row>
    <row r="77" ht="16.8" customHeight="1" spans="1:78" x14ac:dyDescent="0.25">
      <c r="A77" s="239"/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  <c r="AA77" s="239"/>
      <c r="AB77" s="239"/>
      <c r="AC77" s="239"/>
      <c r="AD77" s="239"/>
      <c r="AE77" s="239"/>
      <c r="AF77" s="239"/>
      <c r="AG77" s="239"/>
      <c r="AH77" s="239"/>
      <c r="AI77" s="239"/>
      <c r="AJ77" s="239"/>
      <c r="AK77" s="239"/>
      <c r="AL77" s="239"/>
      <c r="AM77" s="239"/>
      <c r="AN77" s="239"/>
      <c r="AO77" s="239"/>
      <c r="AP77" s="239"/>
      <c r="AQ77" s="239"/>
      <c r="AR77" s="239"/>
      <c r="AS77" s="239"/>
      <c r="AT77" s="239"/>
      <c r="AU77" s="239"/>
      <c r="AV77" s="239"/>
      <c r="AW77" s="239"/>
      <c r="AX77" s="239"/>
      <c r="AY77" s="239"/>
      <c r="AZ77" s="239"/>
      <c r="BA77" s="239"/>
      <c r="BB77" s="239"/>
      <c r="BC77" s="239"/>
      <c r="BD77" s="239"/>
      <c r="BE77" s="239"/>
      <c r="BF77" s="239"/>
      <c r="BG77" s="239"/>
      <c r="BH77" s="239"/>
      <c r="BI77" s="239"/>
      <c r="BJ77" s="239"/>
      <c r="BK77" s="239"/>
      <c r="BL77" s="239"/>
      <c r="BM77" s="239"/>
      <c r="BN77" s="239"/>
      <c r="BO77" s="239"/>
      <c r="BP77" s="239"/>
      <c r="BQ77" s="239"/>
      <c r="BR77" s="239"/>
      <c r="BS77" s="239"/>
      <c r="BT77" s="239"/>
      <c r="BU77" s="239"/>
      <c r="BV77" s="239"/>
      <c r="BW77" s="239"/>
      <c r="BX77" s="239"/>
      <c r="BY77" s="239"/>
      <c r="BZ77" s="239"/>
    </row>
    <row r="78" ht="16.8" customHeight="1" spans="1:78" x14ac:dyDescent="0.25">
      <c r="A78" s="239"/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39"/>
      <c r="AI78" s="239"/>
      <c r="AJ78" s="239"/>
      <c r="AK78" s="239"/>
      <c r="AL78" s="239"/>
      <c r="AM78" s="239"/>
      <c r="AN78" s="239"/>
      <c r="AO78" s="239"/>
      <c r="AP78" s="239"/>
      <c r="AQ78" s="239"/>
      <c r="AR78" s="239"/>
      <c r="AS78" s="239"/>
      <c r="AT78" s="239"/>
      <c r="AU78" s="239"/>
      <c r="AV78" s="239"/>
      <c r="AW78" s="239"/>
      <c r="AX78" s="239"/>
      <c r="AY78" s="239"/>
      <c r="AZ78" s="239"/>
      <c r="BA78" s="239"/>
      <c r="BB78" s="239"/>
      <c r="BC78" s="239"/>
      <c r="BD78" s="239"/>
      <c r="BE78" s="239"/>
      <c r="BF78" s="239"/>
      <c r="BG78" s="239"/>
      <c r="BH78" s="239"/>
      <c r="BI78" s="239"/>
      <c r="BJ78" s="239"/>
      <c r="BK78" s="239"/>
      <c r="BL78" s="239"/>
      <c r="BM78" s="239"/>
      <c r="BN78" s="239"/>
      <c r="BO78" s="239"/>
      <c r="BP78" s="239"/>
      <c r="BQ78" s="239"/>
      <c r="BR78" s="239"/>
      <c r="BS78" s="239"/>
      <c r="BT78" s="239"/>
      <c r="BU78" s="239"/>
      <c r="BV78" s="239"/>
      <c r="BW78" s="239"/>
      <c r="BX78" s="239"/>
      <c r="BY78" s="239"/>
      <c r="BZ78" s="239"/>
    </row>
    <row r="79" ht="16.8" customHeight="1" spans="1:78" x14ac:dyDescent="0.25">
      <c r="A79" s="239"/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39"/>
      <c r="AI79" s="239"/>
      <c r="AJ79" s="239"/>
      <c r="AK79" s="239"/>
      <c r="AL79" s="239"/>
      <c r="AM79" s="239"/>
      <c r="AN79" s="239"/>
      <c r="AO79" s="239"/>
      <c r="AP79" s="239"/>
      <c r="AQ79" s="239"/>
      <c r="AR79" s="239"/>
      <c r="AS79" s="239"/>
      <c r="AT79" s="239"/>
      <c r="AU79" s="239"/>
      <c r="AV79" s="239"/>
      <c r="AW79" s="239"/>
      <c r="AX79" s="239"/>
      <c r="AY79" s="239"/>
      <c r="AZ79" s="239"/>
      <c r="BA79" s="239"/>
      <c r="BB79" s="239"/>
      <c r="BC79" s="239"/>
      <c r="BD79" s="239"/>
      <c r="BE79" s="239"/>
      <c r="BF79" s="239"/>
      <c r="BG79" s="239"/>
      <c r="BH79" s="239"/>
      <c r="BI79" s="239"/>
      <c r="BJ79" s="239"/>
      <c r="BK79" s="239"/>
      <c r="BL79" s="239"/>
      <c r="BM79" s="239"/>
      <c r="BN79" s="239"/>
      <c r="BO79" s="239"/>
      <c r="BP79" s="239"/>
      <c r="BQ79" s="239"/>
      <c r="BR79" s="239"/>
      <c r="BS79" s="239"/>
      <c r="BT79" s="239"/>
      <c r="BU79" s="239"/>
      <c r="BV79" s="239"/>
      <c r="BW79" s="239"/>
      <c r="BX79" s="239"/>
      <c r="BY79" s="239"/>
      <c r="BZ79" s="239"/>
    </row>
    <row r="80" ht="16.8" customHeight="1" spans="1:78" x14ac:dyDescent="0.25">
      <c r="A80" s="239"/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39"/>
      <c r="AI80" s="239"/>
      <c r="AJ80" s="239"/>
      <c r="AK80" s="239"/>
      <c r="AL80" s="239"/>
      <c r="AM80" s="239"/>
      <c r="AN80" s="239"/>
      <c r="AO80" s="239"/>
      <c r="AP80" s="239"/>
      <c r="AQ80" s="239"/>
      <c r="AR80" s="239"/>
      <c r="AS80" s="239"/>
      <c r="AT80" s="239"/>
      <c r="AU80" s="239"/>
      <c r="AV80" s="239"/>
      <c r="AW80" s="239"/>
      <c r="AX80" s="239"/>
      <c r="AY80" s="239"/>
      <c r="AZ80" s="239"/>
      <c r="BA80" s="239"/>
      <c r="BB80" s="239"/>
      <c r="BC80" s="239"/>
      <c r="BD80" s="239"/>
      <c r="BE80" s="239"/>
      <c r="BF80" s="239"/>
      <c r="BG80" s="239"/>
      <c r="BH80" s="239"/>
      <c r="BI80" s="239"/>
      <c r="BJ80" s="239"/>
      <c r="BK80" s="239"/>
      <c r="BL80" s="239"/>
      <c r="BM80" s="239"/>
      <c r="BN80" s="239"/>
      <c r="BO80" s="239"/>
      <c r="BP80" s="239"/>
      <c r="BQ80" s="239"/>
      <c r="BR80" s="239"/>
      <c r="BS80" s="239"/>
      <c r="BT80" s="239"/>
      <c r="BU80" s="239"/>
      <c r="BV80" s="239"/>
      <c r="BW80" s="239"/>
      <c r="BX80" s="239"/>
      <c r="BY80" s="239"/>
      <c r="BZ80" s="239"/>
    </row>
    <row r="81" ht="16.8" customHeight="1" spans="1:78" x14ac:dyDescent="0.25">
      <c r="A81" s="239"/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39"/>
      <c r="AI81" s="239"/>
      <c r="AJ81" s="239"/>
      <c r="AK81" s="239"/>
      <c r="AL81" s="239"/>
      <c r="AM81" s="239"/>
      <c r="AN81" s="239"/>
      <c r="AO81" s="239"/>
      <c r="AP81" s="239"/>
      <c r="AQ81" s="239"/>
      <c r="AR81" s="239"/>
      <c r="AS81" s="239"/>
      <c r="AT81" s="239"/>
      <c r="AU81" s="239"/>
      <c r="AV81" s="239"/>
      <c r="AW81" s="239"/>
      <c r="AX81" s="239"/>
      <c r="AY81" s="239"/>
      <c r="AZ81" s="239"/>
      <c r="BA81" s="239"/>
      <c r="BB81" s="239"/>
      <c r="BC81" s="239"/>
      <c r="BD81" s="239"/>
      <c r="BE81" s="239"/>
      <c r="BF81" s="239"/>
      <c r="BG81" s="239"/>
      <c r="BH81" s="239"/>
      <c r="BI81" s="239"/>
      <c r="BJ81" s="239"/>
      <c r="BK81" s="239"/>
      <c r="BL81" s="239"/>
      <c r="BM81" s="239"/>
      <c r="BN81" s="239"/>
      <c r="BO81" s="239"/>
      <c r="BP81" s="239"/>
      <c r="BQ81" s="239"/>
      <c r="BR81" s="239"/>
      <c r="BS81" s="239"/>
      <c r="BT81" s="239"/>
      <c r="BU81" s="239"/>
      <c r="BV81" s="239"/>
      <c r="BW81" s="239"/>
      <c r="BX81" s="239"/>
      <c r="BY81" s="239"/>
      <c r="BZ81" s="239"/>
    </row>
    <row r="82" ht="16.8" customHeight="1" spans="1:78" x14ac:dyDescent="0.25">
      <c r="A82" s="239"/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39"/>
      <c r="AI82" s="239"/>
      <c r="AJ82" s="239"/>
      <c r="AK82" s="239"/>
      <c r="AL82" s="239"/>
      <c r="AM82" s="239"/>
      <c r="AN82" s="239"/>
      <c r="AO82" s="239"/>
      <c r="AP82" s="239"/>
      <c r="AQ82" s="239"/>
      <c r="AR82" s="239"/>
      <c r="AS82" s="239"/>
      <c r="AT82" s="239"/>
      <c r="AU82" s="239"/>
      <c r="AV82" s="239"/>
      <c r="AW82" s="239"/>
      <c r="AX82" s="239"/>
      <c r="AY82" s="239"/>
      <c r="AZ82" s="239"/>
      <c r="BA82" s="239"/>
      <c r="BB82" s="239"/>
      <c r="BC82" s="239"/>
      <c r="BD82" s="239"/>
      <c r="BE82" s="239"/>
      <c r="BF82" s="239"/>
      <c r="BG82" s="239"/>
      <c r="BH82" s="239"/>
      <c r="BI82" s="239"/>
      <c r="BJ82" s="239"/>
      <c r="BK82" s="239"/>
      <c r="BL82" s="239"/>
      <c r="BM82" s="239"/>
      <c r="BN82" s="239"/>
      <c r="BO82" s="239"/>
      <c r="BP82" s="239"/>
      <c r="BQ82" s="239"/>
      <c r="BR82" s="239"/>
      <c r="BS82" s="239"/>
      <c r="BT82" s="239"/>
      <c r="BU82" s="239"/>
      <c r="BV82" s="239"/>
      <c r="BW82" s="239"/>
      <c r="BX82" s="239"/>
      <c r="BY82" s="239"/>
      <c r="BZ82" s="239"/>
    </row>
    <row r="83" ht="16.8" customHeight="1" spans="1:78" x14ac:dyDescent="0.25">
      <c r="A83" s="239"/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  <c r="AA83" s="239"/>
      <c r="AB83" s="239"/>
      <c r="AC83" s="239"/>
      <c r="AD83" s="239"/>
      <c r="AE83" s="239"/>
      <c r="AF83" s="239"/>
      <c r="AG83" s="239"/>
      <c r="AH83" s="239"/>
      <c r="AI83" s="239"/>
      <c r="AJ83" s="239"/>
      <c r="AK83" s="239"/>
      <c r="AL83" s="239"/>
      <c r="AM83" s="239"/>
      <c r="AN83" s="239"/>
      <c r="AO83" s="239"/>
      <c r="AP83" s="239"/>
      <c r="AQ83" s="239"/>
      <c r="AR83" s="239"/>
      <c r="AS83" s="239"/>
      <c r="AT83" s="239"/>
      <c r="AU83" s="239"/>
      <c r="AV83" s="239"/>
      <c r="AW83" s="239"/>
      <c r="AX83" s="239"/>
      <c r="AY83" s="239"/>
      <c r="AZ83" s="239"/>
      <c r="BA83" s="239"/>
      <c r="BB83" s="239"/>
      <c r="BC83" s="239"/>
      <c r="BD83" s="239"/>
      <c r="BE83" s="239"/>
      <c r="BF83" s="239"/>
      <c r="BG83" s="239"/>
      <c r="BH83" s="239"/>
      <c r="BI83" s="239"/>
      <c r="BJ83" s="239"/>
      <c r="BK83" s="239"/>
      <c r="BL83" s="239"/>
      <c r="BM83" s="239"/>
      <c r="BN83" s="239"/>
      <c r="BO83" s="239"/>
      <c r="BP83" s="239"/>
      <c r="BQ83" s="239"/>
      <c r="BR83" s="239"/>
      <c r="BS83" s="239"/>
      <c r="BT83" s="239"/>
      <c r="BU83" s="239"/>
      <c r="BV83" s="239"/>
      <c r="BW83" s="239"/>
      <c r="BX83" s="239"/>
      <c r="BY83" s="239"/>
      <c r="BZ83" s="239"/>
    </row>
    <row r="84" ht="16.8" customHeight="1" spans="1:78" x14ac:dyDescent="0.25">
      <c r="A84" s="239"/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239"/>
      <c r="AJ84" s="239"/>
      <c r="AK84" s="239"/>
      <c r="AL84" s="239"/>
      <c r="AM84" s="239"/>
      <c r="AN84" s="239"/>
      <c r="AO84" s="239"/>
      <c r="AP84" s="239"/>
      <c r="AQ84" s="239"/>
      <c r="AR84" s="239"/>
      <c r="AS84" s="239"/>
      <c r="AT84" s="239"/>
      <c r="AU84" s="239"/>
      <c r="AV84" s="239"/>
      <c r="AW84" s="239"/>
      <c r="AX84" s="239"/>
      <c r="AY84" s="239"/>
      <c r="AZ84" s="239"/>
      <c r="BA84" s="239"/>
      <c r="BB84" s="239"/>
      <c r="BC84" s="239"/>
      <c r="BD84" s="239"/>
      <c r="BE84" s="239"/>
      <c r="BF84" s="239"/>
      <c r="BG84" s="239"/>
      <c r="BH84" s="239"/>
      <c r="BI84" s="239"/>
      <c r="BJ84" s="239"/>
      <c r="BK84" s="239"/>
      <c r="BL84" s="239"/>
      <c r="BM84" s="239"/>
      <c r="BN84" s="239"/>
      <c r="BO84" s="239"/>
      <c r="BP84" s="239"/>
      <c r="BQ84" s="239"/>
      <c r="BR84" s="239"/>
      <c r="BS84" s="239"/>
      <c r="BT84" s="239"/>
      <c r="BU84" s="239"/>
      <c r="BV84" s="239"/>
      <c r="BW84" s="239"/>
      <c r="BX84" s="239"/>
      <c r="BY84" s="239"/>
      <c r="BZ84" s="239"/>
    </row>
    <row r="85" ht="16.8" customHeight="1" spans="1:78" x14ac:dyDescent="0.25">
      <c r="A85" s="239"/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39"/>
      <c r="BD85" s="239"/>
      <c r="BE85" s="239"/>
      <c r="BF85" s="239"/>
      <c r="BG85" s="239"/>
      <c r="BH85" s="239"/>
      <c r="BI85" s="239"/>
      <c r="BJ85" s="239"/>
      <c r="BK85" s="239"/>
      <c r="BL85" s="239"/>
      <c r="BM85" s="239"/>
      <c r="BN85" s="239"/>
      <c r="BO85" s="239"/>
      <c r="BP85" s="239"/>
      <c r="BQ85" s="239"/>
      <c r="BR85" s="239"/>
      <c r="BS85" s="239"/>
      <c r="BT85" s="239"/>
      <c r="BU85" s="239"/>
      <c r="BV85" s="239"/>
      <c r="BW85" s="239"/>
      <c r="BX85" s="239"/>
      <c r="BY85" s="239"/>
      <c r="BZ85" s="239"/>
    </row>
    <row r="86" ht="16.8" customHeight="1" spans="1:78" x14ac:dyDescent="0.25">
      <c r="A86" s="239"/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  <c r="AA86" s="239"/>
      <c r="AB86" s="239"/>
      <c r="AC86" s="239"/>
      <c r="AD86" s="239"/>
      <c r="AE86" s="239"/>
      <c r="AF86" s="239"/>
      <c r="AG86" s="239"/>
      <c r="AH86" s="239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39"/>
      <c r="BD86" s="239"/>
      <c r="BE86" s="239"/>
      <c r="BF86" s="239"/>
      <c r="BG86" s="239"/>
      <c r="BH86" s="239"/>
      <c r="BI86" s="239"/>
      <c r="BJ86" s="239"/>
      <c r="BK86" s="239"/>
      <c r="BL86" s="239"/>
      <c r="BM86" s="239"/>
      <c r="BN86" s="239"/>
      <c r="BO86" s="239"/>
      <c r="BP86" s="239"/>
      <c r="BQ86" s="239"/>
      <c r="BR86" s="239"/>
      <c r="BS86" s="239"/>
      <c r="BT86" s="239"/>
      <c r="BU86" s="239"/>
      <c r="BV86" s="239"/>
      <c r="BW86" s="239"/>
      <c r="BX86" s="239"/>
      <c r="BY86" s="239"/>
      <c r="BZ86" s="239"/>
    </row>
    <row r="87" ht="16.8" customHeight="1" spans="1:78" x14ac:dyDescent="0.25">
      <c r="A87" s="239"/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  <c r="AA87" s="239"/>
      <c r="AB87" s="239"/>
      <c r="AC87" s="239"/>
      <c r="AD87" s="239"/>
      <c r="AE87" s="239"/>
      <c r="AF87" s="239"/>
      <c r="AG87" s="239"/>
      <c r="AH87" s="239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39"/>
      <c r="BD87" s="239"/>
      <c r="BE87" s="239"/>
      <c r="BF87" s="239"/>
      <c r="BG87" s="239"/>
      <c r="BH87" s="239"/>
      <c r="BI87" s="239"/>
      <c r="BJ87" s="239"/>
      <c r="BK87" s="239"/>
      <c r="BL87" s="239"/>
      <c r="BM87" s="239"/>
      <c r="BN87" s="239"/>
      <c r="BO87" s="239"/>
      <c r="BP87" s="239"/>
      <c r="BQ87" s="239"/>
      <c r="BR87" s="239"/>
      <c r="BS87" s="239"/>
      <c r="BT87" s="239"/>
      <c r="BU87" s="239"/>
      <c r="BV87" s="239"/>
      <c r="BW87" s="239"/>
      <c r="BX87" s="239"/>
      <c r="BY87" s="239"/>
      <c r="BZ87" s="239"/>
    </row>
    <row r="88" ht="16.8" customHeight="1" spans="1:78" x14ac:dyDescent="0.25">
      <c r="A88" s="239"/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  <c r="AA88" s="239"/>
      <c r="AB88" s="239"/>
      <c r="AC88" s="239"/>
      <c r="AD88" s="239"/>
      <c r="AE88" s="239"/>
      <c r="AF88" s="239"/>
      <c r="AG88" s="239"/>
      <c r="AH88" s="239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39"/>
      <c r="BD88" s="239"/>
      <c r="BE88" s="239"/>
      <c r="BF88" s="239"/>
      <c r="BG88" s="239"/>
      <c r="BH88" s="239"/>
      <c r="BI88" s="239"/>
      <c r="BJ88" s="239"/>
      <c r="BK88" s="239"/>
      <c r="BL88" s="239"/>
      <c r="BM88" s="239"/>
      <c r="BN88" s="239"/>
      <c r="BO88" s="239"/>
      <c r="BP88" s="239"/>
      <c r="BQ88" s="239"/>
      <c r="BR88" s="239"/>
      <c r="BS88" s="239"/>
      <c r="BT88" s="239"/>
      <c r="BU88" s="239"/>
      <c r="BV88" s="239"/>
      <c r="BW88" s="239"/>
      <c r="BX88" s="239"/>
      <c r="BY88" s="239"/>
      <c r="BZ88" s="239"/>
    </row>
    <row r="89" ht="16.8" customHeight="1" spans="1:78" x14ac:dyDescent="0.25">
      <c r="A89" s="239"/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  <c r="AA89" s="239"/>
      <c r="AB89" s="239"/>
      <c r="AC89" s="239"/>
      <c r="AD89" s="239"/>
      <c r="AE89" s="239"/>
      <c r="AF89" s="239"/>
      <c r="AG89" s="239"/>
      <c r="AH89" s="239"/>
      <c r="AI89" s="239"/>
      <c r="AJ89" s="239"/>
      <c r="AK89" s="239"/>
      <c r="AL89" s="239"/>
      <c r="AM89" s="239"/>
      <c r="AN89" s="239"/>
      <c r="AO89" s="239"/>
      <c r="AP89" s="239"/>
      <c r="AQ89" s="239"/>
      <c r="AR89" s="239"/>
      <c r="AS89" s="239"/>
      <c r="AT89" s="239"/>
      <c r="AU89" s="239"/>
      <c r="AV89" s="239"/>
      <c r="AW89" s="239"/>
      <c r="AX89" s="239"/>
      <c r="AY89" s="239"/>
      <c r="AZ89" s="239"/>
      <c r="BA89" s="239"/>
      <c r="BB89" s="239"/>
      <c r="BC89" s="239"/>
      <c r="BD89" s="239"/>
      <c r="BE89" s="239"/>
      <c r="BF89" s="239"/>
      <c r="BG89" s="239"/>
      <c r="BH89" s="239"/>
      <c r="BI89" s="239"/>
      <c r="BJ89" s="239"/>
      <c r="BK89" s="239"/>
      <c r="BL89" s="239"/>
      <c r="BM89" s="239"/>
      <c r="BN89" s="239"/>
      <c r="BO89" s="239"/>
      <c r="BP89" s="239"/>
      <c r="BQ89" s="239"/>
      <c r="BR89" s="239"/>
      <c r="BS89" s="239"/>
      <c r="BT89" s="239"/>
      <c r="BU89" s="239"/>
      <c r="BV89" s="239"/>
      <c r="BW89" s="239"/>
      <c r="BX89" s="239"/>
      <c r="BY89" s="239"/>
      <c r="BZ89" s="239"/>
    </row>
    <row r="90" ht="16.8" customHeight="1" spans="1:78" x14ac:dyDescent="0.25">
      <c r="A90" s="239"/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  <c r="AA90" s="239"/>
      <c r="AB90" s="239"/>
      <c r="AC90" s="239"/>
      <c r="AD90" s="239"/>
      <c r="AE90" s="239"/>
      <c r="AF90" s="239"/>
      <c r="AG90" s="239"/>
      <c r="AH90" s="239"/>
      <c r="AI90" s="239"/>
      <c r="AJ90" s="239"/>
      <c r="AK90" s="239"/>
      <c r="AL90" s="239"/>
      <c r="AM90" s="239"/>
      <c r="AN90" s="239"/>
      <c r="AO90" s="239"/>
      <c r="AP90" s="239"/>
      <c r="AQ90" s="239"/>
      <c r="AR90" s="239"/>
      <c r="AS90" s="239"/>
      <c r="AT90" s="239"/>
      <c r="AU90" s="239"/>
      <c r="AV90" s="239"/>
      <c r="AW90" s="239"/>
      <c r="AX90" s="239"/>
      <c r="AY90" s="239"/>
      <c r="AZ90" s="239"/>
      <c r="BA90" s="239"/>
      <c r="BB90" s="239"/>
      <c r="BC90" s="239"/>
      <c r="BD90" s="239"/>
      <c r="BE90" s="239"/>
      <c r="BF90" s="239"/>
      <c r="BG90" s="239"/>
      <c r="BH90" s="239"/>
      <c r="BI90" s="239"/>
      <c r="BJ90" s="239"/>
      <c r="BK90" s="239"/>
      <c r="BL90" s="239"/>
      <c r="BM90" s="239"/>
      <c r="BN90" s="239"/>
      <c r="BO90" s="239"/>
      <c r="BP90" s="239"/>
      <c r="BQ90" s="239"/>
      <c r="BR90" s="239"/>
      <c r="BS90" s="239"/>
      <c r="BT90" s="239"/>
      <c r="BU90" s="239"/>
      <c r="BV90" s="239"/>
      <c r="BW90" s="239"/>
      <c r="BX90" s="239"/>
      <c r="BY90" s="239"/>
      <c r="BZ90" s="239"/>
    </row>
    <row r="91" ht="16.8" customHeight="1" spans="1:78" x14ac:dyDescent="0.25">
      <c r="A91" s="239"/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  <c r="AA91" s="239"/>
      <c r="AB91" s="239"/>
      <c r="AC91" s="239"/>
      <c r="AD91" s="239"/>
      <c r="AE91" s="239"/>
      <c r="AF91" s="239"/>
      <c r="AG91" s="239"/>
      <c r="AH91" s="239"/>
      <c r="AI91" s="239"/>
      <c r="AJ91" s="239"/>
      <c r="AK91" s="239"/>
      <c r="AL91" s="239"/>
      <c r="AM91" s="239"/>
      <c r="AN91" s="239"/>
      <c r="AO91" s="239"/>
      <c r="AP91" s="239"/>
      <c r="AQ91" s="239"/>
      <c r="AR91" s="239"/>
      <c r="AS91" s="239"/>
      <c r="AT91" s="239"/>
      <c r="AU91" s="239"/>
      <c r="AV91" s="239"/>
      <c r="AW91" s="239"/>
      <c r="AX91" s="239"/>
      <c r="AY91" s="239"/>
      <c r="AZ91" s="239"/>
      <c r="BA91" s="239"/>
      <c r="BB91" s="239"/>
      <c r="BC91" s="239"/>
      <c r="BD91" s="239"/>
      <c r="BE91" s="239"/>
      <c r="BF91" s="239"/>
      <c r="BG91" s="239"/>
      <c r="BH91" s="239"/>
      <c r="BI91" s="239"/>
      <c r="BJ91" s="239"/>
      <c r="BK91" s="239"/>
      <c r="BL91" s="239"/>
      <c r="BM91" s="239"/>
      <c r="BN91" s="239"/>
      <c r="BO91" s="239"/>
      <c r="BP91" s="239"/>
      <c r="BQ91" s="239"/>
      <c r="BR91" s="239"/>
      <c r="BS91" s="239"/>
      <c r="BT91" s="239"/>
      <c r="BU91" s="239"/>
      <c r="BV91" s="239"/>
      <c r="BW91" s="239"/>
      <c r="BX91" s="239"/>
      <c r="BY91" s="239"/>
      <c r="BZ91" s="239"/>
    </row>
    <row r="92" ht="16.8" customHeight="1" spans="1:78" x14ac:dyDescent="0.25">
      <c r="A92" s="239"/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  <c r="AA92" s="239"/>
      <c r="AB92" s="239"/>
      <c r="AC92" s="239"/>
      <c r="AD92" s="239"/>
      <c r="AE92" s="239"/>
      <c r="AF92" s="239"/>
      <c r="AG92" s="239"/>
      <c r="AH92" s="239"/>
      <c r="AI92" s="239"/>
      <c r="AJ92" s="239"/>
      <c r="AK92" s="239"/>
      <c r="AL92" s="239"/>
      <c r="AM92" s="239"/>
      <c r="AN92" s="239"/>
      <c r="AO92" s="239"/>
      <c r="AP92" s="239"/>
      <c r="AQ92" s="239"/>
      <c r="AR92" s="239"/>
      <c r="AS92" s="239"/>
      <c r="AT92" s="239"/>
      <c r="AU92" s="239"/>
      <c r="AV92" s="239"/>
      <c r="AW92" s="239"/>
      <c r="AX92" s="239"/>
      <c r="AY92" s="239"/>
      <c r="AZ92" s="239"/>
      <c r="BA92" s="239"/>
      <c r="BB92" s="239"/>
      <c r="BC92" s="239"/>
      <c r="BD92" s="239"/>
      <c r="BE92" s="239"/>
      <c r="BF92" s="239"/>
      <c r="BG92" s="239"/>
      <c r="BH92" s="239"/>
      <c r="BI92" s="239"/>
      <c r="BJ92" s="239"/>
      <c r="BK92" s="239"/>
      <c r="BL92" s="239"/>
      <c r="BM92" s="239"/>
      <c r="BN92" s="239"/>
      <c r="BO92" s="239"/>
      <c r="BP92" s="239"/>
      <c r="BQ92" s="239"/>
      <c r="BR92" s="239"/>
      <c r="BS92" s="239"/>
      <c r="BT92" s="239"/>
      <c r="BU92" s="239"/>
      <c r="BV92" s="239"/>
      <c r="BW92" s="239"/>
      <c r="BX92" s="239"/>
      <c r="BY92" s="239"/>
      <c r="BZ92" s="239"/>
    </row>
    <row r="93" ht="16.8" customHeight="1" spans="1:78" x14ac:dyDescent="0.25">
      <c r="A93" s="239"/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  <c r="AA93" s="239"/>
      <c r="AB93" s="239"/>
      <c r="AC93" s="239"/>
      <c r="AD93" s="239"/>
      <c r="AE93" s="239"/>
      <c r="AF93" s="239"/>
      <c r="AG93" s="239"/>
      <c r="AH93" s="239"/>
      <c r="AI93" s="239"/>
      <c r="AJ93" s="239"/>
      <c r="AK93" s="239"/>
      <c r="AL93" s="239"/>
      <c r="AM93" s="239"/>
      <c r="AN93" s="239"/>
      <c r="AO93" s="239"/>
      <c r="AP93" s="239"/>
      <c r="AQ93" s="239"/>
      <c r="AR93" s="239"/>
      <c r="AS93" s="239"/>
      <c r="AT93" s="239"/>
      <c r="AU93" s="239"/>
      <c r="AV93" s="239"/>
      <c r="AW93" s="239"/>
      <c r="AX93" s="239"/>
      <c r="AY93" s="239"/>
      <c r="AZ93" s="239"/>
      <c r="BA93" s="239"/>
      <c r="BB93" s="239"/>
      <c r="BC93" s="239"/>
      <c r="BD93" s="239"/>
      <c r="BE93" s="239"/>
      <c r="BF93" s="239"/>
      <c r="BG93" s="239"/>
      <c r="BH93" s="239"/>
      <c r="BI93" s="239"/>
      <c r="BJ93" s="239"/>
      <c r="BK93" s="239"/>
      <c r="BL93" s="239"/>
      <c r="BM93" s="239"/>
      <c r="BN93" s="239"/>
      <c r="BO93" s="239"/>
      <c r="BP93" s="239"/>
      <c r="BQ93" s="239"/>
      <c r="BR93" s="239"/>
      <c r="BS93" s="239"/>
      <c r="BT93" s="239"/>
      <c r="BU93" s="239"/>
      <c r="BV93" s="239"/>
      <c r="BW93" s="239"/>
      <c r="BX93" s="239"/>
      <c r="BY93" s="239"/>
      <c r="BZ93" s="239"/>
    </row>
    <row r="94" ht="16.8" customHeight="1" spans="1:78" x14ac:dyDescent="0.25">
      <c r="A94" s="239"/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  <c r="AA94" s="239"/>
      <c r="AB94" s="239"/>
      <c r="AC94" s="239"/>
      <c r="AD94" s="239"/>
      <c r="AE94" s="239"/>
      <c r="AF94" s="239"/>
      <c r="AG94" s="239"/>
      <c r="AH94" s="239"/>
      <c r="AI94" s="239"/>
      <c r="AJ94" s="239"/>
      <c r="AK94" s="239"/>
      <c r="AL94" s="239"/>
      <c r="AM94" s="239"/>
      <c r="AN94" s="239"/>
      <c r="AO94" s="239"/>
      <c r="AP94" s="239"/>
      <c r="AQ94" s="239"/>
      <c r="AR94" s="239"/>
      <c r="AS94" s="239"/>
      <c r="AT94" s="239"/>
      <c r="AU94" s="239"/>
      <c r="AV94" s="239"/>
      <c r="AW94" s="239"/>
      <c r="AX94" s="239"/>
      <c r="AY94" s="239"/>
      <c r="AZ94" s="239"/>
      <c r="BA94" s="239"/>
      <c r="BB94" s="239"/>
      <c r="BC94" s="239"/>
      <c r="BD94" s="239"/>
      <c r="BE94" s="239"/>
      <c r="BF94" s="239"/>
      <c r="BG94" s="239"/>
      <c r="BH94" s="239"/>
      <c r="BI94" s="239"/>
      <c r="BJ94" s="239"/>
      <c r="BK94" s="239"/>
      <c r="BL94" s="239"/>
      <c r="BM94" s="239"/>
      <c r="BN94" s="239"/>
      <c r="BO94" s="239"/>
      <c r="BP94" s="239"/>
      <c r="BQ94" s="239"/>
      <c r="BR94" s="239"/>
      <c r="BS94" s="239"/>
      <c r="BT94" s="239"/>
      <c r="BU94" s="239"/>
      <c r="BV94" s="239"/>
      <c r="BW94" s="239"/>
      <c r="BX94" s="239"/>
      <c r="BY94" s="239"/>
      <c r="BZ94" s="239"/>
    </row>
    <row r="95" ht="16.8" customHeight="1" spans="1:78" x14ac:dyDescent="0.25">
      <c r="A95" s="239"/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  <c r="AM95" s="239"/>
      <c r="AN95" s="239"/>
      <c r="AO95" s="239"/>
      <c r="AP95" s="239"/>
      <c r="AQ95" s="239"/>
      <c r="AR95" s="239"/>
      <c r="AS95" s="239"/>
      <c r="AT95" s="239"/>
      <c r="AU95" s="239"/>
      <c r="AV95" s="239"/>
      <c r="AW95" s="239"/>
      <c r="AX95" s="239"/>
      <c r="AY95" s="239"/>
      <c r="AZ95" s="239"/>
      <c r="BA95" s="239"/>
      <c r="BB95" s="239"/>
      <c r="BC95" s="239"/>
      <c r="BD95" s="239"/>
      <c r="BE95" s="239"/>
      <c r="BF95" s="239"/>
      <c r="BG95" s="239"/>
      <c r="BH95" s="239"/>
      <c r="BI95" s="239"/>
      <c r="BJ95" s="239"/>
      <c r="BK95" s="239"/>
      <c r="BL95" s="239"/>
      <c r="BM95" s="239"/>
      <c r="BN95" s="239"/>
      <c r="BO95" s="239"/>
      <c r="BP95" s="239"/>
      <c r="BQ95" s="239"/>
      <c r="BR95" s="239"/>
      <c r="BS95" s="239"/>
      <c r="BT95" s="239"/>
      <c r="BU95" s="239"/>
      <c r="BV95" s="239"/>
      <c r="BW95" s="239"/>
      <c r="BX95" s="239"/>
      <c r="BY95" s="239"/>
      <c r="BZ95" s="239"/>
    </row>
    <row r="96" ht="16.8" customHeight="1" spans="1:78" x14ac:dyDescent="0.25">
      <c r="A96" s="239"/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  <c r="AA96" s="239"/>
      <c r="AB96" s="239"/>
      <c r="AC96" s="239"/>
      <c r="AD96" s="239"/>
      <c r="AE96" s="239"/>
      <c r="AF96" s="239"/>
      <c r="AG96" s="239"/>
      <c r="AH96" s="239"/>
      <c r="AI96" s="239"/>
      <c r="AJ96" s="239"/>
      <c r="AK96" s="239"/>
      <c r="AL96" s="239"/>
      <c r="AM96" s="239"/>
      <c r="AN96" s="239"/>
      <c r="AO96" s="239"/>
      <c r="AP96" s="239"/>
      <c r="AQ96" s="239"/>
      <c r="AR96" s="239"/>
      <c r="AS96" s="239"/>
      <c r="AT96" s="239"/>
      <c r="AU96" s="239"/>
      <c r="AV96" s="239"/>
      <c r="AW96" s="239"/>
      <c r="AX96" s="239"/>
      <c r="AY96" s="239"/>
      <c r="AZ96" s="239"/>
      <c r="BA96" s="239"/>
      <c r="BB96" s="239"/>
      <c r="BC96" s="239"/>
      <c r="BD96" s="239"/>
      <c r="BE96" s="239"/>
      <c r="BF96" s="239"/>
      <c r="BG96" s="239"/>
      <c r="BH96" s="239"/>
      <c r="BI96" s="239"/>
      <c r="BJ96" s="239"/>
      <c r="BK96" s="239"/>
      <c r="BL96" s="239"/>
      <c r="BM96" s="239"/>
      <c r="BN96" s="239"/>
      <c r="BO96" s="239"/>
      <c r="BP96" s="239"/>
      <c r="BQ96" s="239"/>
      <c r="BR96" s="239"/>
      <c r="BS96" s="239"/>
      <c r="BT96" s="239"/>
      <c r="BU96" s="239"/>
      <c r="BV96" s="239"/>
      <c r="BW96" s="239"/>
      <c r="BX96" s="239"/>
      <c r="BY96" s="239"/>
      <c r="BZ96" s="239"/>
    </row>
    <row r="97" ht="16.8" customHeight="1" spans="1:78" x14ac:dyDescent="0.25">
      <c r="A97" s="239"/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  <c r="AA97" s="239"/>
      <c r="AB97" s="239"/>
      <c r="AC97" s="239"/>
      <c r="AD97" s="239"/>
      <c r="AE97" s="239"/>
      <c r="AF97" s="239"/>
      <c r="AG97" s="239"/>
      <c r="AH97" s="239"/>
      <c r="AI97" s="239"/>
      <c r="AJ97" s="239"/>
      <c r="AK97" s="239"/>
      <c r="AL97" s="239"/>
      <c r="AM97" s="239"/>
      <c r="AN97" s="239"/>
      <c r="AO97" s="239"/>
      <c r="AP97" s="239"/>
      <c r="AQ97" s="239"/>
      <c r="AR97" s="239"/>
      <c r="AS97" s="239"/>
      <c r="AT97" s="239"/>
      <c r="AU97" s="239"/>
      <c r="AV97" s="239"/>
      <c r="AW97" s="239"/>
      <c r="AX97" s="239"/>
      <c r="AY97" s="239"/>
      <c r="AZ97" s="239"/>
      <c r="BA97" s="239"/>
      <c r="BB97" s="239"/>
      <c r="BC97" s="239"/>
      <c r="BD97" s="239"/>
      <c r="BE97" s="239"/>
      <c r="BF97" s="239"/>
      <c r="BG97" s="239"/>
      <c r="BH97" s="239"/>
      <c r="BI97" s="239"/>
      <c r="BJ97" s="239"/>
      <c r="BK97" s="239"/>
      <c r="BL97" s="239"/>
      <c r="BM97" s="239"/>
      <c r="BN97" s="239"/>
      <c r="BO97" s="239"/>
      <c r="BP97" s="239"/>
      <c r="BQ97" s="239"/>
      <c r="BR97" s="239"/>
      <c r="BS97" s="239"/>
      <c r="BT97" s="239"/>
      <c r="BU97" s="239"/>
      <c r="BV97" s="239"/>
      <c r="BW97" s="239"/>
      <c r="BX97" s="239"/>
      <c r="BY97" s="239"/>
      <c r="BZ97" s="239"/>
    </row>
    <row r="98" ht="16.8" customHeight="1" spans="1:78" x14ac:dyDescent="0.25">
      <c r="A98" s="239"/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239"/>
      <c r="N98" s="239"/>
      <c r="O98" s="239"/>
      <c r="P98" s="239"/>
      <c r="Q98" s="239"/>
      <c r="R98" s="239"/>
      <c r="S98" s="239"/>
      <c r="T98" s="239"/>
      <c r="U98" s="239"/>
      <c r="V98" s="239"/>
      <c r="W98" s="239"/>
      <c r="X98" s="239"/>
      <c r="Y98" s="239"/>
      <c r="Z98" s="239"/>
      <c r="AA98" s="239"/>
      <c r="AB98" s="239"/>
      <c r="AC98" s="239"/>
      <c r="AD98" s="239"/>
      <c r="AE98" s="239"/>
      <c r="AF98" s="239"/>
      <c r="AG98" s="239"/>
      <c r="AH98" s="239"/>
      <c r="AI98" s="239"/>
      <c r="AJ98" s="239"/>
      <c r="AK98" s="239"/>
      <c r="AL98" s="239"/>
      <c r="AM98" s="239"/>
      <c r="AN98" s="239"/>
      <c r="AO98" s="239"/>
      <c r="AP98" s="239"/>
      <c r="AQ98" s="239"/>
      <c r="AR98" s="239"/>
      <c r="AS98" s="239"/>
      <c r="AT98" s="239"/>
      <c r="AU98" s="239"/>
      <c r="AV98" s="239"/>
      <c r="AW98" s="239"/>
      <c r="AX98" s="239"/>
      <c r="AY98" s="239"/>
      <c r="AZ98" s="239"/>
      <c r="BA98" s="239"/>
      <c r="BB98" s="239"/>
      <c r="BC98" s="239"/>
      <c r="BD98" s="239"/>
      <c r="BE98" s="239"/>
      <c r="BF98" s="239"/>
      <c r="BG98" s="239"/>
      <c r="BH98" s="239"/>
      <c r="BI98" s="239"/>
      <c r="BJ98" s="239"/>
      <c r="BK98" s="239"/>
      <c r="BL98" s="239"/>
      <c r="BM98" s="239"/>
      <c r="BN98" s="239"/>
      <c r="BO98" s="239"/>
      <c r="BP98" s="239"/>
      <c r="BQ98" s="239"/>
      <c r="BR98" s="239"/>
      <c r="BS98" s="239"/>
      <c r="BT98" s="239"/>
      <c r="BU98" s="239"/>
      <c r="BV98" s="239"/>
      <c r="BW98" s="239"/>
      <c r="BX98" s="239"/>
      <c r="BY98" s="239"/>
      <c r="BZ98" s="239"/>
    </row>
    <row r="99" ht="16.8" customHeight="1" spans="1:78" x14ac:dyDescent="0.25">
      <c r="A99" s="239"/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  <c r="AA99" s="239"/>
      <c r="AB99" s="239"/>
      <c r="AC99" s="239"/>
      <c r="AD99" s="239"/>
      <c r="AE99" s="239"/>
      <c r="AF99" s="239"/>
      <c r="AG99" s="239"/>
      <c r="AH99" s="239"/>
      <c r="AI99" s="239"/>
      <c r="AJ99" s="239"/>
      <c r="AK99" s="239"/>
      <c r="AL99" s="239"/>
      <c r="AM99" s="239"/>
      <c r="AN99" s="239"/>
      <c r="AO99" s="239"/>
      <c r="AP99" s="239"/>
      <c r="AQ99" s="239"/>
      <c r="AR99" s="239"/>
      <c r="AS99" s="239"/>
      <c r="AT99" s="239"/>
      <c r="AU99" s="239"/>
      <c r="AV99" s="239"/>
      <c r="AW99" s="239"/>
      <c r="AX99" s="239"/>
      <c r="AY99" s="239"/>
      <c r="AZ99" s="239"/>
      <c r="BA99" s="239"/>
      <c r="BB99" s="239"/>
      <c r="BC99" s="239"/>
      <c r="BD99" s="239"/>
      <c r="BE99" s="239"/>
      <c r="BF99" s="239"/>
      <c r="BG99" s="239"/>
      <c r="BH99" s="239"/>
      <c r="BI99" s="239"/>
      <c r="BJ99" s="239"/>
      <c r="BK99" s="239"/>
      <c r="BL99" s="239"/>
      <c r="BM99" s="239"/>
      <c r="BN99" s="239"/>
      <c r="BO99" s="239"/>
      <c r="BP99" s="239"/>
      <c r="BQ99" s="239"/>
      <c r="BR99" s="239"/>
      <c r="BS99" s="239"/>
      <c r="BT99" s="239"/>
      <c r="BU99" s="239"/>
      <c r="BV99" s="239"/>
      <c r="BW99" s="239"/>
      <c r="BX99" s="239"/>
      <c r="BY99" s="239"/>
      <c r="BZ99" s="239"/>
    </row>
    <row r="100" ht="16.8" customHeight="1" spans="1:78" x14ac:dyDescent="0.25">
      <c r="A100" s="239"/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39"/>
      <c r="AL100" s="239"/>
      <c r="AM100" s="239"/>
      <c r="AN100" s="239"/>
      <c r="AO100" s="239"/>
      <c r="AP100" s="239"/>
      <c r="AQ100" s="239"/>
      <c r="AR100" s="239"/>
      <c r="AS100" s="239"/>
      <c r="AT100" s="239"/>
      <c r="AU100" s="239"/>
      <c r="AV100" s="239"/>
      <c r="AW100" s="239"/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39"/>
      <c r="BH100" s="239"/>
      <c r="BI100" s="239"/>
      <c r="BJ100" s="239"/>
      <c r="BK100" s="239"/>
      <c r="BL100" s="239"/>
      <c r="BM100" s="239"/>
      <c r="BN100" s="239"/>
      <c r="BO100" s="239"/>
      <c r="BP100" s="239"/>
      <c r="BQ100" s="239"/>
      <c r="BR100" s="239"/>
      <c r="BS100" s="239"/>
      <c r="BT100" s="239"/>
      <c r="BU100" s="239"/>
      <c r="BV100" s="239"/>
      <c r="BW100" s="239"/>
      <c r="BX100" s="239"/>
      <c r="BY100" s="239"/>
      <c r="BZ100" s="239"/>
    </row>
    <row r="101" ht="16.8" customHeight="1" spans="1:78" x14ac:dyDescent="0.25">
      <c r="A101" s="239"/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  <c r="AM101" s="239"/>
      <c r="AN101" s="239"/>
      <c r="AO101" s="239"/>
      <c r="AP101" s="239"/>
      <c r="AQ101" s="239"/>
      <c r="AR101" s="239"/>
      <c r="AS101" s="239"/>
      <c r="AT101" s="239"/>
      <c r="AU101" s="239"/>
      <c r="AV101" s="239"/>
      <c r="AW101" s="239"/>
      <c r="AX101" s="239"/>
      <c r="AY101" s="239"/>
      <c r="AZ101" s="239"/>
      <c r="BA101" s="239"/>
      <c r="BB101" s="239"/>
      <c r="BC101" s="239"/>
      <c r="BD101" s="239"/>
      <c r="BE101" s="239"/>
      <c r="BF101" s="239"/>
      <c r="BG101" s="239"/>
      <c r="BH101" s="239"/>
      <c r="BI101" s="239"/>
      <c r="BJ101" s="239"/>
      <c r="BK101" s="239"/>
      <c r="BL101" s="239"/>
      <c r="BM101" s="239"/>
      <c r="BN101" s="239"/>
      <c r="BO101" s="239"/>
      <c r="BP101" s="239"/>
      <c r="BQ101" s="239"/>
      <c r="BR101" s="239"/>
      <c r="BS101" s="239"/>
      <c r="BT101" s="239"/>
      <c r="BU101" s="239"/>
      <c r="BV101" s="239"/>
      <c r="BW101" s="239"/>
      <c r="BX101" s="239"/>
      <c r="BY101" s="239"/>
      <c r="BZ101" s="239"/>
    </row>
    <row r="102" ht="16.8" customHeight="1" spans="1:78" x14ac:dyDescent="0.25">
      <c r="A102" s="239"/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  <c r="AM102" s="239"/>
      <c r="AN102" s="239"/>
      <c r="AO102" s="239"/>
      <c r="AP102" s="239"/>
      <c r="AQ102" s="239"/>
      <c r="AR102" s="239"/>
      <c r="AS102" s="239"/>
      <c r="AT102" s="239"/>
      <c r="AU102" s="239"/>
      <c r="AV102" s="239"/>
      <c r="AW102" s="239"/>
      <c r="AX102" s="239"/>
      <c r="AY102" s="239"/>
      <c r="AZ102" s="239"/>
      <c r="BA102" s="239"/>
      <c r="BB102" s="239"/>
      <c r="BC102" s="239"/>
      <c r="BD102" s="239"/>
      <c r="BE102" s="239"/>
      <c r="BF102" s="239"/>
      <c r="BG102" s="239"/>
      <c r="BH102" s="239"/>
      <c r="BI102" s="239"/>
      <c r="BJ102" s="239"/>
      <c r="BK102" s="239"/>
      <c r="BL102" s="239"/>
      <c r="BM102" s="239"/>
      <c r="BN102" s="239"/>
      <c r="BO102" s="239"/>
      <c r="BP102" s="239"/>
      <c r="BQ102" s="239"/>
      <c r="BR102" s="239"/>
      <c r="BS102" s="239"/>
      <c r="BT102" s="239"/>
      <c r="BU102" s="239"/>
      <c r="BV102" s="239"/>
      <c r="BW102" s="239"/>
      <c r="BX102" s="239"/>
      <c r="BY102" s="239"/>
      <c r="BZ102" s="239"/>
    </row>
    <row r="103" ht="16.8" customHeight="1" spans="1:78" x14ac:dyDescent="0.25">
      <c r="A103" s="239"/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239"/>
      <c r="AJ103" s="239"/>
      <c r="AK103" s="239"/>
      <c r="AL103" s="239"/>
      <c r="AM103" s="239"/>
      <c r="AN103" s="239"/>
      <c r="AO103" s="239"/>
      <c r="AP103" s="239"/>
      <c r="AQ103" s="239"/>
      <c r="AR103" s="239"/>
      <c r="AS103" s="239"/>
      <c r="AT103" s="239"/>
      <c r="AU103" s="239"/>
      <c r="AV103" s="239"/>
      <c r="AW103" s="239"/>
      <c r="AX103" s="239"/>
      <c r="AY103" s="239"/>
      <c r="AZ103" s="239"/>
      <c r="BA103" s="239"/>
      <c r="BB103" s="239"/>
      <c r="BC103" s="239"/>
      <c r="BD103" s="239"/>
      <c r="BE103" s="239"/>
      <c r="BF103" s="239"/>
      <c r="BG103" s="239"/>
      <c r="BH103" s="239"/>
      <c r="BI103" s="239"/>
      <c r="BJ103" s="239"/>
      <c r="BK103" s="239"/>
      <c r="BL103" s="239"/>
      <c r="BM103" s="239"/>
      <c r="BN103" s="239"/>
      <c r="BO103" s="239"/>
      <c r="BP103" s="239"/>
      <c r="BQ103" s="239"/>
      <c r="BR103" s="239"/>
      <c r="BS103" s="239"/>
      <c r="BT103" s="239"/>
      <c r="BU103" s="239"/>
      <c r="BV103" s="239"/>
      <c r="BW103" s="239"/>
      <c r="BX103" s="239"/>
      <c r="BY103" s="239"/>
      <c r="BZ103" s="239"/>
    </row>
    <row r="104" ht="16.8" customHeight="1" spans="1:78" x14ac:dyDescent="0.25">
      <c r="A104" s="239"/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239"/>
      <c r="AN104" s="239"/>
      <c r="AO104" s="239"/>
      <c r="AP104" s="239"/>
      <c r="AQ104" s="239"/>
      <c r="AR104" s="239"/>
      <c r="AS104" s="239"/>
      <c r="AT104" s="239"/>
      <c r="AU104" s="239"/>
      <c r="AV104" s="239"/>
      <c r="AW104" s="239"/>
      <c r="AX104" s="239"/>
      <c r="AY104" s="239"/>
      <c r="AZ104" s="239"/>
      <c r="BA104" s="239"/>
      <c r="BB104" s="239"/>
      <c r="BC104" s="239"/>
      <c r="BD104" s="239"/>
      <c r="BE104" s="239"/>
      <c r="BF104" s="239"/>
      <c r="BG104" s="239"/>
      <c r="BH104" s="239"/>
      <c r="BI104" s="239"/>
      <c r="BJ104" s="239"/>
      <c r="BK104" s="239"/>
      <c r="BL104" s="239"/>
      <c r="BM104" s="239"/>
      <c r="BN104" s="239"/>
      <c r="BO104" s="239"/>
      <c r="BP104" s="239"/>
      <c r="BQ104" s="239"/>
      <c r="BR104" s="239"/>
      <c r="BS104" s="239"/>
      <c r="BT104" s="239"/>
      <c r="BU104" s="239"/>
      <c r="BV104" s="239"/>
      <c r="BW104" s="239"/>
      <c r="BX104" s="239"/>
      <c r="BY104" s="239"/>
      <c r="BZ104" s="239"/>
    </row>
    <row r="105" ht="16.8" customHeight="1" spans="1:78" x14ac:dyDescent="0.25">
      <c r="A105" s="239"/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  <c r="AM105" s="239"/>
      <c r="AN105" s="239"/>
      <c r="AO105" s="239"/>
      <c r="AP105" s="239"/>
      <c r="AQ105" s="239"/>
      <c r="AR105" s="239"/>
      <c r="AS105" s="239"/>
      <c r="AT105" s="239"/>
      <c r="AU105" s="239"/>
      <c r="AV105" s="239"/>
      <c r="AW105" s="239"/>
      <c r="AX105" s="239"/>
      <c r="AY105" s="239"/>
      <c r="AZ105" s="239"/>
      <c r="BA105" s="239"/>
      <c r="BB105" s="239"/>
      <c r="BC105" s="239"/>
      <c r="BD105" s="239"/>
      <c r="BE105" s="239"/>
      <c r="BF105" s="239"/>
      <c r="BG105" s="239"/>
      <c r="BH105" s="239"/>
      <c r="BI105" s="239"/>
      <c r="BJ105" s="239"/>
      <c r="BK105" s="239"/>
      <c r="BL105" s="239"/>
      <c r="BM105" s="239"/>
      <c r="BN105" s="239"/>
      <c r="BO105" s="239"/>
      <c r="BP105" s="239"/>
      <c r="BQ105" s="239"/>
      <c r="BR105" s="239"/>
      <c r="BS105" s="239"/>
      <c r="BT105" s="239"/>
      <c r="BU105" s="239"/>
      <c r="BV105" s="239"/>
      <c r="BW105" s="239"/>
      <c r="BX105" s="239"/>
      <c r="BY105" s="239"/>
      <c r="BZ105" s="239"/>
    </row>
    <row r="106" ht="16.8" customHeight="1" spans="1:78" x14ac:dyDescent="0.25">
      <c r="A106" s="239"/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  <c r="V106" s="239"/>
      <c r="W106" s="239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/>
      <c r="AI106" s="239"/>
      <c r="AJ106" s="239"/>
      <c r="AK106" s="239"/>
      <c r="AL106" s="239"/>
      <c r="AM106" s="239"/>
      <c r="AN106" s="239"/>
      <c r="AO106" s="239"/>
      <c r="AP106" s="239"/>
      <c r="AQ106" s="239"/>
      <c r="AR106" s="239"/>
      <c r="AS106" s="239"/>
      <c r="AT106" s="239"/>
      <c r="AU106" s="239"/>
      <c r="AV106" s="239"/>
      <c r="AW106" s="239"/>
      <c r="AX106" s="239"/>
      <c r="AY106" s="239"/>
      <c r="AZ106" s="239"/>
      <c r="BA106" s="239"/>
      <c r="BB106" s="239"/>
      <c r="BC106" s="239"/>
      <c r="BD106" s="239"/>
      <c r="BE106" s="239"/>
      <c r="BF106" s="239"/>
      <c r="BG106" s="239"/>
      <c r="BH106" s="239"/>
      <c r="BI106" s="239"/>
      <c r="BJ106" s="239"/>
      <c r="BK106" s="239"/>
      <c r="BL106" s="239"/>
      <c r="BM106" s="239"/>
      <c r="BN106" s="239"/>
      <c r="BO106" s="239"/>
      <c r="BP106" s="239"/>
      <c r="BQ106" s="239"/>
      <c r="BR106" s="239"/>
      <c r="BS106" s="239"/>
      <c r="BT106" s="239"/>
      <c r="BU106" s="239"/>
      <c r="BV106" s="239"/>
      <c r="BW106" s="239"/>
      <c r="BX106" s="239"/>
      <c r="BY106" s="239"/>
      <c r="BZ106" s="239"/>
    </row>
    <row r="107" ht="16.8" customHeight="1" spans="1:78" x14ac:dyDescent="0.25">
      <c r="A107" s="239"/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239"/>
      <c r="AJ107" s="239"/>
      <c r="AK107" s="239"/>
      <c r="AL107" s="239"/>
      <c r="AM107" s="239"/>
      <c r="AN107" s="239"/>
      <c r="AO107" s="239"/>
      <c r="AP107" s="239"/>
      <c r="AQ107" s="239"/>
      <c r="AR107" s="239"/>
      <c r="AS107" s="239"/>
      <c r="AT107" s="239"/>
      <c r="AU107" s="239"/>
      <c r="AV107" s="239"/>
      <c r="AW107" s="239"/>
      <c r="AX107" s="239"/>
      <c r="AY107" s="239"/>
      <c r="AZ107" s="239"/>
      <c r="BA107" s="239"/>
      <c r="BB107" s="239"/>
      <c r="BC107" s="239"/>
      <c r="BD107" s="239"/>
      <c r="BE107" s="239"/>
      <c r="BF107" s="239"/>
      <c r="BG107" s="239"/>
      <c r="BH107" s="239"/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39"/>
      <c r="BS107" s="239"/>
      <c r="BT107" s="239"/>
      <c r="BU107" s="239"/>
      <c r="BV107" s="239"/>
      <c r="BW107" s="239"/>
      <c r="BX107" s="239"/>
      <c r="BY107" s="239"/>
      <c r="BZ107" s="239"/>
    </row>
    <row r="108" ht="16.8" customHeight="1" spans="1:78" x14ac:dyDescent="0.25">
      <c r="A108" s="239"/>
      <c r="B108" s="239"/>
      <c r="C108" s="239"/>
      <c r="D108" s="239"/>
      <c r="E108" s="239"/>
      <c r="F108" s="239"/>
      <c r="G108" s="239"/>
      <c r="H108" s="239"/>
      <c r="I108" s="239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  <c r="AM108" s="239"/>
      <c r="AN108" s="239"/>
      <c r="AO108" s="239"/>
      <c r="AP108" s="239"/>
      <c r="AQ108" s="239"/>
      <c r="AR108" s="239"/>
      <c r="AS108" s="239"/>
      <c r="AT108" s="239"/>
      <c r="AU108" s="239"/>
      <c r="AV108" s="239"/>
      <c r="AW108" s="239"/>
      <c r="AX108" s="239"/>
      <c r="AY108" s="239"/>
      <c r="AZ108" s="239"/>
      <c r="BA108" s="239"/>
      <c r="BB108" s="239"/>
      <c r="BC108" s="239"/>
      <c r="BD108" s="239"/>
      <c r="BE108" s="239"/>
      <c r="BF108" s="239"/>
      <c r="BG108" s="239"/>
      <c r="BH108" s="239"/>
      <c r="BI108" s="239"/>
      <c r="BJ108" s="239"/>
      <c r="BK108" s="239"/>
      <c r="BL108" s="239"/>
      <c r="BM108" s="239"/>
      <c r="BN108" s="239"/>
      <c r="BO108" s="239"/>
      <c r="BP108" s="239"/>
      <c r="BQ108" s="239"/>
      <c r="BR108" s="239"/>
      <c r="BS108" s="239"/>
      <c r="BT108" s="239"/>
      <c r="BU108" s="239"/>
      <c r="BV108" s="239"/>
      <c r="BW108" s="239"/>
      <c r="BX108" s="239"/>
      <c r="BY108" s="239"/>
      <c r="BZ108" s="239"/>
    </row>
    <row r="109" ht="16.8" customHeight="1" spans="1:78" x14ac:dyDescent="0.25">
      <c r="A109" s="239"/>
      <c r="B109" s="239"/>
      <c r="C109" s="239"/>
      <c r="D109" s="239"/>
      <c r="E109" s="239"/>
      <c r="F109" s="239"/>
      <c r="G109" s="239"/>
      <c r="H109" s="239"/>
      <c r="I109" s="239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  <c r="AM109" s="239"/>
      <c r="AN109" s="239"/>
      <c r="AO109" s="239"/>
      <c r="AP109" s="239"/>
      <c r="AQ109" s="239"/>
      <c r="AR109" s="239"/>
      <c r="AS109" s="239"/>
      <c r="AT109" s="239"/>
      <c r="AU109" s="239"/>
      <c r="AV109" s="239"/>
      <c r="AW109" s="239"/>
      <c r="AX109" s="239"/>
      <c r="AY109" s="239"/>
      <c r="AZ109" s="239"/>
      <c r="BA109" s="239"/>
      <c r="BB109" s="239"/>
      <c r="BC109" s="239"/>
      <c r="BD109" s="239"/>
      <c r="BE109" s="239"/>
      <c r="BF109" s="239"/>
      <c r="BG109" s="239"/>
      <c r="BH109" s="239"/>
      <c r="BI109" s="239"/>
      <c r="BJ109" s="239"/>
      <c r="BK109" s="239"/>
      <c r="BL109" s="239"/>
      <c r="BM109" s="239"/>
      <c r="BN109" s="239"/>
      <c r="BO109" s="239"/>
      <c r="BP109" s="239"/>
      <c r="BQ109" s="239"/>
      <c r="BR109" s="239"/>
      <c r="BS109" s="239"/>
      <c r="BT109" s="239"/>
      <c r="BU109" s="239"/>
      <c r="BV109" s="239"/>
      <c r="BW109" s="239"/>
      <c r="BX109" s="239"/>
      <c r="BY109" s="239"/>
      <c r="BZ109" s="239"/>
    </row>
    <row r="110" ht="16.8" customHeight="1" spans="1:78" x14ac:dyDescent="0.25">
      <c r="A110" s="239"/>
      <c r="B110" s="239"/>
      <c r="C110" s="239"/>
      <c r="D110" s="239"/>
      <c r="E110" s="239"/>
      <c r="F110" s="239"/>
      <c r="G110" s="239"/>
      <c r="H110" s="239"/>
      <c r="I110" s="239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  <c r="AM110" s="239"/>
      <c r="AN110" s="239"/>
      <c r="AO110" s="239"/>
      <c r="AP110" s="239"/>
      <c r="AQ110" s="239"/>
      <c r="AR110" s="239"/>
      <c r="AS110" s="239"/>
      <c r="AT110" s="239"/>
      <c r="AU110" s="239"/>
      <c r="AV110" s="239"/>
      <c r="AW110" s="239"/>
      <c r="AX110" s="239"/>
      <c r="AY110" s="239"/>
      <c r="AZ110" s="239"/>
      <c r="BA110" s="239"/>
      <c r="BB110" s="239"/>
      <c r="BC110" s="239"/>
      <c r="BD110" s="239"/>
      <c r="BE110" s="239"/>
      <c r="BF110" s="239"/>
      <c r="BG110" s="239"/>
      <c r="BH110" s="239"/>
      <c r="BI110" s="239"/>
      <c r="BJ110" s="239"/>
      <c r="BK110" s="239"/>
      <c r="BL110" s="239"/>
      <c r="BM110" s="239"/>
      <c r="BN110" s="239"/>
      <c r="BO110" s="239"/>
      <c r="BP110" s="239"/>
      <c r="BQ110" s="239"/>
      <c r="BR110" s="239"/>
      <c r="BS110" s="239"/>
      <c r="BT110" s="239"/>
      <c r="BU110" s="239"/>
      <c r="BV110" s="239"/>
      <c r="BW110" s="239"/>
      <c r="BX110" s="239"/>
      <c r="BY110" s="239"/>
      <c r="BZ110" s="239"/>
    </row>
    <row r="111" ht="16.8" customHeight="1" spans="1:78" x14ac:dyDescent="0.25">
      <c r="A111" s="239"/>
      <c r="B111" s="239"/>
      <c r="C111" s="239"/>
      <c r="D111" s="239"/>
      <c r="E111" s="239"/>
      <c r="F111" s="239"/>
      <c r="G111" s="239"/>
      <c r="H111" s="239"/>
      <c r="I111" s="239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  <c r="AM111" s="239"/>
      <c r="AN111" s="239"/>
      <c r="AO111" s="239"/>
      <c r="AP111" s="239"/>
      <c r="AQ111" s="239"/>
      <c r="AR111" s="239"/>
      <c r="AS111" s="239"/>
      <c r="AT111" s="239"/>
      <c r="AU111" s="239"/>
      <c r="AV111" s="239"/>
      <c r="AW111" s="239"/>
      <c r="AX111" s="239"/>
      <c r="AY111" s="239"/>
      <c r="AZ111" s="239"/>
      <c r="BA111" s="239"/>
      <c r="BB111" s="239"/>
      <c r="BC111" s="239"/>
      <c r="BD111" s="239"/>
      <c r="BE111" s="239"/>
      <c r="BF111" s="239"/>
      <c r="BG111" s="239"/>
      <c r="BH111" s="239"/>
      <c r="BI111" s="239"/>
      <c r="BJ111" s="239"/>
      <c r="BK111" s="239"/>
      <c r="BL111" s="239"/>
      <c r="BM111" s="239"/>
      <c r="BN111" s="239"/>
      <c r="BO111" s="239"/>
      <c r="BP111" s="239"/>
      <c r="BQ111" s="239"/>
      <c r="BR111" s="239"/>
      <c r="BS111" s="239"/>
      <c r="BT111" s="239"/>
      <c r="BU111" s="239"/>
      <c r="BV111" s="239"/>
      <c r="BW111" s="239"/>
      <c r="BX111" s="239"/>
      <c r="BY111" s="239"/>
      <c r="BZ111" s="239"/>
    </row>
    <row r="112" ht="16.8" customHeight="1" spans="1:78" x14ac:dyDescent="0.25">
      <c r="A112" s="239"/>
      <c r="B112" s="239"/>
      <c r="C112" s="239"/>
      <c r="D112" s="239"/>
      <c r="E112" s="239"/>
      <c r="F112" s="239"/>
      <c r="G112" s="239"/>
      <c r="H112" s="239"/>
      <c r="I112" s="239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239"/>
      <c r="AN112" s="239"/>
      <c r="AO112" s="239"/>
      <c r="AP112" s="239"/>
      <c r="AQ112" s="239"/>
      <c r="AR112" s="239"/>
      <c r="AS112" s="239"/>
      <c r="AT112" s="239"/>
      <c r="AU112" s="239"/>
      <c r="AV112" s="239"/>
      <c r="AW112" s="239"/>
      <c r="AX112" s="239"/>
      <c r="AY112" s="239"/>
      <c r="AZ112" s="239"/>
      <c r="BA112" s="239"/>
      <c r="BB112" s="239"/>
      <c r="BC112" s="239"/>
      <c r="BD112" s="239"/>
      <c r="BE112" s="239"/>
      <c r="BF112" s="239"/>
      <c r="BG112" s="239"/>
      <c r="BH112" s="239"/>
      <c r="BI112" s="239"/>
      <c r="BJ112" s="239"/>
      <c r="BK112" s="239"/>
      <c r="BL112" s="239"/>
      <c r="BM112" s="239"/>
      <c r="BN112" s="239"/>
      <c r="BO112" s="239"/>
      <c r="BP112" s="239"/>
      <c r="BQ112" s="239"/>
      <c r="BR112" s="239"/>
      <c r="BS112" s="239"/>
      <c r="BT112" s="239"/>
      <c r="BU112" s="239"/>
      <c r="BV112" s="239"/>
      <c r="BW112" s="239"/>
      <c r="BX112" s="239"/>
      <c r="BY112" s="239"/>
      <c r="BZ112" s="239"/>
    </row>
    <row r="113" ht="16.8" customHeight="1" spans="1:78" x14ac:dyDescent="0.25">
      <c r="A113" s="239"/>
      <c r="B113" s="239"/>
      <c r="C113" s="239"/>
      <c r="D113" s="239"/>
      <c r="E113" s="239"/>
      <c r="F113" s="239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39"/>
      <c r="AN113" s="239"/>
      <c r="AO113" s="239"/>
      <c r="AP113" s="239"/>
      <c r="AQ113" s="239"/>
      <c r="AR113" s="239"/>
      <c r="AS113" s="239"/>
      <c r="AT113" s="239"/>
      <c r="AU113" s="239"/>
      <c r="AV113" s="239"/>
      <c r="AW113" s="239"/>
      <c r="AX113" s="239"/>
      <c r="AY113" s="239"/>
      <c r="AZ113" s="239"/>
      <c r="BA113" s="239"/>
      <c r="BB113" s="239"/>
      <c r="BC113" s="239"/>
      <c r="BD113" s="239"/>
      <c r="BE113" s="239"/>
      <c r="BF113" s="239"/>
      <c r="BG113" s="239"/>
      <c r="BH113" s="239"/>
      <c r="BI113" s="239"/>
      <c r="BJ113" s="239"/>
      <c r="BK113" s="239"/>
      <c r="BL113" s="239"/>
      <c r="BM113" s="239"/>
      <c r="BN113" s="239"/>
      <c r="BO113" s="239"/>
      <c r="BP113" s="239"/>
      <c r="BQ113" s="239"/>
      <c r="BR113" s="239"/>
      <c r="BS113" s="239"/>
      <c r="BT113" s="239"/>
      <c r="BU113" s="239"/>
      <c r="BV113" s="239"/>
      <c r="BW113" s="239"/>
      <c r="BX113" s="239"/>
      <c r="BY113" s="239"/>
      <c r="BZ113" s="239"/>
    </row>
    <row r="114" ht="16.8" customHeight="1" spans="1:78" x14ac:dyDescent="0.25">
      <c r="A114" s="239"/>
      <c r="B114" s="239"/>
      <c r="C114" s="239"/>
      <c r="D114" s="239"/>
      <c r="E114" s="239"/>
      <c r="F114" s="239"/>
      <c r="G114" s="239"/>
      <c r="H114" s="239"/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239"/>
      <c r="AN114" s="239"/>
      <c r="AO114" s="239"/>
      <c r="AP114" s="239"/>
      <c r="AQ114" s="239"/>
      <c r="AR114" s="239"/>
      <c r="AS114" s="239"/>
      <c r="AT114" s="239"/>
      <c r="AU114" s="239"/>
      <c r="AV114" s="239"/>
      <c r="AW114" s="239"/>
      <c r="AX114" s="239"/>
      <c r="AY114" s="239"/>
      <c r="AZ114" s="239"/>
      <c r="BA114" s="239"/>
      <c r="BB114" s="239"/>
      <c r="BC114" s="239"/>
      <c r="BD114" s="239"/>
      <c r="BE114" s="239"/>
      <c r="BF114" s="239"/>
      <c r="BG114" s="239"/>
      <c r="BH114" s="239"/>
      <c r="BI114" s="239"/>
      <c r="BJ114" s="239"/>
      <c r="BK114" s="239"/>
      <c r="BL114" s="239"/>
      <c r="BM114" s="239"/>
      <c r="BN114" s="239"/>
      <c r="BO114" s="239"/>
      <c r="BP114" s="239"/>
      <c r="BQ114" s="239"/>
      <c r="BR114" s="239"/>
      <c r="BS114" s="239"/>
      <c r="BT114" s="239"/>
      <c r="BU114" s="239"/>
      <c r="BV114" s="239"/>
      <c r="BW114" s="239"/>
      <c r="BX114" s="239"/>
      <c r="BY114" s="239"/>
      <c r="BZ114" s="239"/>
    </row>
    <row r="115" ht="16.8" customHeight="1" spans="1:78" x14ac:dyDescent="0.25">
      <c r="A115" s="239"/>
      <c r="B115" s="239"/>
      <c r="C115" s="239"/>
      <c r="D115" s="239"/>
      <c r="E115" s="239"/>
      <c r="F115" s="239"/>
      <c r="G115" s="239"/>
      <c r="H115" s="239"/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  <c r="AM115" s="239"/>
      <c r="AN115" s="239"/>
      <c r="AO115" s="239"/>
      <c r="AP115" s="239"/>
      <c r="AQ115" s="239"/>
      <c r="AR115" s="239"/>
      <c r="AS115" s="239"/>
      <c r="AT115" s="239"/>
      <c r="AU115" s="239"/>
      <c r="AV115" s="239"/>
      <c r="AW115" s="239"/>
      <c r="AX115" s="239"/>
      <c r="AY115" s="239"/>
      <c r="AZ115" s="239"/>
      <c r="BA115" s="239"/>
      <c r="BB115" s="239"/>
      <c r="BC115" s="239"/>
      <c r="BD115" s="239"/>
      <c r="BE115" s="239"/>
      <c r="BF115" s="239"/>
      <c r="BG115" s="239"/>
      <c r="BH115" s="239"/>
      <c r="BI115" s="239"/>
      <c r="BJ115" s="239"/>
      <c r="BK115" s="239"/>
      <c r="BL115" s="239"/>
      <c r="BM115" s="239"/>
      <c r="BN115" s="239"/>
      <c r="BO115" s="239"/>
      <c r="BP115" s="239"/>
      <c r="BQ115" s="239"/>
      <c r="BR115" s="239"/>
      <c r="BS115" s="239"/>
      <c r="BT115" s="239"/>
      <c r="BU115" s="239"/>
      <c r="BV115" s="239"/>
      <c r="BW115" s="239"/>
      <c r="BX115" s="239"/>
      <c r="BY115" s="239"/>
      <c r="BZ115" s="239"/>
    </row>
    <row r="116" ht="16.8" customHeight="1" spans="1:78" x14ac:dyDescent="0.25">
      <c r="A116" s="239"/>
      <c r="B116" s="239"/>
      <c r="C116" s="239"/>
      <c r="D116" s="239"/>
      <c r="E116" s="239"/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  <c r="AM116" s="239"/>
      <c r="AN116" s="239"/>
      <c r="AO116" s="239"/>
      <c r="AP116" s="239"/>
      <c r="AQ116" s="239"/>
      <c r="AR116" s="239"/>
      <c r="AS116" s="239"/>
      <c r="AT116" s="239"/>
      <c r="AU116" s="239"/>
      <c r="AV116" s="239"/>
      <c r="AW116" s="239"/>
      <c r="AX116" s="239"/>
      <c r="AY116" s="239"/>
      <c r="AZ116" s="239"/>
      <c r="BA116" s="239"/>
      <c r="BB116" s="239"/>
      <c r="BC116" s="239"/>
      <c r="BD116" s="239"/>
      <c r="BE116" s="239"/>
      <c r="BF116" s="239"/>
      <c r="BG116" s="239"/>
      <c r="BH116" s="239"/>
      <c r="BI116" s="239"/>
      <c r="BJ116" s="239"/>
      <c r="BK116" s="239"/>
      <c r="BL116" s="239"/>
      <c r="BM116" s="239"/>
      <c r="BN116" s="239"/>
      <c r="BO116" s="239"/>
      <c r="BP116" s="239"/>
      <c r="BQ116" s="239"/>
      <c r="BR116" s="239"/>
      <c r="BS116" s="239"/>
      <c r="BT116" s="239"/>
      <c r="BU116" s="239"/>
      <c r="BV116" s="239"/>
      <c r="BW116" s="239"/>
      <c r="BX116" s="239"/>
      <c r="BY116" s="239"/>
      <c r="BZ116" s="239"/>
    </row>
    <row r="117" ht="16.8" customHeight="1" spans="1:78" x14ac:dyDescent="0.25">
      <c r="A117" s="239"/>
      <c r="B117" s="239"/>
      <c r="C117" s="239"/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  <c r="V117" s="239"/>
      <c r="W117" s="239"/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239"/>
      <c r="AJ117" s="239"/>
      <c r="AK117" s="239"/>
      <c r="AL117" s="239"/>
      <c r="AM117" s="239"/>
      <c r="AN117" s="239"/>
      <c r="AO117" s="239"/>
      <c r="AP117" s="239"/>
      <c r="AQ117" s="239"/>
      <c r="AR117" s="239"/>
      <c r="AS117" s="239"/>
      <c r="AT117" s="239"/>
      <c r="AU117" s="239"/>
      <c r="AV117" s="239"/>
      <c r="AW117" s="239"/>
      <c r="AX117" s="239"/>
      <c r="AY117" s="239"/>
      <c r="AZ117" s="239"/>
      <c r="BA117" s="239"/>
      <c r="BB117" s="239"/>
      <c r="BC117" s="239"/>
      <c r="BD117" s="239"/>
      <c r="BE117" s="239"/>
      <c r="BF117" s="239"/>
      <c r="BG117" s="239"/>
      <c r="BH117" s="239"/>
      <c r="BI117" s="239"/>
      <c r="BJ117" s="239"/>
      <c r="BK117" s="239"/>
      <c r="BL117" s="239"/>
      <c r="BM117" s="239"/>
      <c r="BN117" s="239"/>
      <c r="BO117" s="239"/>
      <c r="BP117" s="239"/>
      <c r="BQ117" s="239"/>
      <c r="BR117" s="239"/>
      <c r="BS117" s="239"/>
      <c r="BT117" s="239"/>
      <c r="BU117" s="239"/>
      <c r="BV117" s="239"/>
      <c r="BW117" s="239"/>
      <c r="BX117" s="239"/>
      <c r="BY117" s="239"/>
      <c r="BZ117" s="239"/>
    </row>
    <row r="118" ht="16.8" customHeight="1" spans="1:78" x14ac:dyDescent="0.25">
      <c r="A118" s="239"/>
      <c r="B118" s="239"/>
      <c r="C118" s="239"/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  <c r="AM118" s="239"/>
      <c r="AN118" s="239"/>
      <c r="AO118" s="239"/>
      <c r="AP118" s="239"/>
      <c r="AQ118" s="239"/>
      <c r="AR118" s="239"/>
      <c r="AS118" s="239"/>
      <c r="AT118" s="239"/>
      <c r="AU118" s="239"/>
      <c r="AV118" s="239"/>
      <c r="AW118" s="239"/>
      <c r="AX118" s="239"/>
      <c r="AY118" s="239"/>
      <c r="AZ118" s="239"/>
      <c r="BA118" s="239"/>
      <c r="BB118" s="239"/>
      <c r="BC118" s="239"/>
      <c r="BD118" s="239"/>
      <c r="BE118" s="239"/>
      <c r="BF118" s="239"/>
      <c r="BG118" s="239"/>
      <c r="BH118" s="239"/>
      <c r="BI118" s="239"/>
      <c r="BJ118" s="239"/>
      <c r="BK118" s="239"/>
      <c r="BL118" s="239"/>
      <c r="BM118" s="239"/>
      <c r="BN118" s="239"/>
      <c r="BO118" s="239"/>
      <c r="BP118" s="239"/>
      <c r="BQ118" s="239"/>
      <c r="BR118" s="239"/>
      <c r="BS118" s="239"/>
      <c r="BT118" s="239"/>
      <c r="BU118" s="239"/>
      <c r="BV118" s="239"/>
      <c r="BW118" s="239"/>
      <c r="BX118" s="239"/>
      <c r="BY118" s="239"/>
      <c r="BZ118" s="239"/>
    </row>
    <row r="119" ht="16.8" customHeight="1" spans="1:78" x14ac:dyDescent="0.25">
      <c r="A119" s="239"/>
      <c r="B119" s="239"/>
      <c r="C119" s="239"/>
      <c r="D119" s="239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239"/>
      <c r="AJ119" s="239"/>
      <c r="AK119" s="239"/>
      <c r="AL119" s="239"/>
      <c r="AM119" s="239"/>
      <c r="AN119" s="239"/>
      <c r="AO119" s="239"/>
      <c r="AP119" s="239"/>
      <c r="AQ119" s="239"/>
      <c r="AR119" s="239"/>
      <c r="AS119" s="239"/>
      <c r="AT119" s="239"/>
      <c r="AU119" s="239"/>
      <c r="AV119" s="239"/>
      <c r="AW119" s="239"/>
      <c r="AX119" s="239"/>
      <c r="AY119" s="239"/>
      <c r="AZ119" s="239"/>
      <c r="BA119" s="239"/>
      <c r="BB119" s="239"/>
      <c r="BC119" s="239"/>
      <c r="BD119" s="239"/>
      <c r="BE119" s="239"/>
      <c r="BF119" s="239"/>
      <c r="BG119" s="239"/>
      <c r="BH119" s="239"/>
      <c r="BI119" s="239"/>
      <c r="BJ119" s="239"/>
      <c r="BK119" s="239"/>
      <c r="BL119" s="239"/>
      <c r="BM119" s="239"/>
      <c r="BN119" s="239"/>
      <c r="BO119" s="239"/>
      <c r="BP119" s="239"/>
      <c r="BQ119" s="239"/>
      <c r="BR119" s="239"/>
      <c r="BS119" s="239"/>
      <c r="BT119" s="239"/>
      <c r="BU119" s="239"/>
      <c r="BV119" s="239"/>
      <c r="BW119" s="239"/>
      <c r="BX119" s="239"/>
      <c r="BY119" s="239"/>
      <c r="BZ119" s="239"/>
    </row>
    <row r="120" ht="16.8" customHeight="1" spans="1:78" x14ac:dyDescent="0.25">
      <c r="A120" s="239"/>
      <c r="B120" s="239"/>
      <c r="C120" s="239"/>
      <c r="D120" s="239"/>
      <c r="E120" s="239"/>
      <c r="F120" s="239"/>
      <c r="G120" s="239"/>
      <c r="H120" s="239"/>
      <c r="I120" s="239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  <c r="AM120" s="239"/>
      <c r="AN120" s="239"/>
      <c r="AO120" s="239"/>
      <c r="AP120" s="239"/>
      <c r="AQ120" s="239"/>
      <c r="AR120" s="239"/>
      <c r="AS120" s="239"/>
      <c r="AT120" s="239"/>
      <c r="AU120" s="239"/>
      <c r="AV120" s="239"/>
      <c r="AW120" s="239"/>
      <c r="AX120" s="239"/>
      <c r="AY120" s="239"/>
      <c r="AZ120" s="239"/>
      <c r="BA120" s="239"/>
      <c r="BB120" s="239"/>
      <c r="BC120" s="239"/>
      <c r="BD120" s="239"/>
      <c r="BE120" s="239"/>
      <c r="BF120" s="239"/>
      <c r="BG120" s="239"/>
      <c r="BH120" s="239"/>
      <c r="BI120" s="239"/>
      <c r="BJ120" s="239"/>
      <c r="BK120" s="239"/>
      <c r="BL120" s="239"/>
      <c r="BM120" s="239"/>
      <c r="BN120" s="239"/>
      <c r="BO120" s="239"/>
      <c r="BP120" s="239"/>
      <c r="BQ120" s="239"/>
      <c r="BR120" s="239"/>
      <c r="BS120" s="239"/>
      <c r="BT120" s="239"/>
      <c r="BU120" s="239"/>
      <c r="BV120" s="239"/>
      <c r="BW120" s="239"/>
      <c r="BX120" s="239"/>
      <c r="BY120" s="239"/>
      <c r="BZ120" s="239"/>
    </row>
    <row r="121" ht="16.8" customHeight="1" spans="1:78" x14ac:dyDescent="0.25">
      <c r="A121" s="239"/>
      <c r="B121" s="239"/>
      <c r="C121" s="239"/>
      <c r="D121" s="239"/>
      <c r="E121" s="239"/>
      <c r="F121" s="239"/>
      <c r="G121" s="239"/>
      <c r="H121" s="239"/>
      <c r="I121" s="239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  <c r="AM121" s="239"/>
      <c r="AN121" s="239"/>
      <c r="AO121" s="239"/>
      <c r="AP121" s="239"/>
      <c r="AQ121" s="239"/>
      <c r="AR121" s="239"/>
      <c r="AS121" s="239"/>
      <c r="AT121" s="239"/>
      <c r="AU121" s="239"/>
      <c r="AV121" s="239"/>
      <c r="AW121" s="239"/>
      <c r="AX121" s="239"/>
      <c r="AY121" s="239"/>
      <c r="AZ121" s="239"/>
      <c r="BA121" s="239"/>
      <c r="BB121" s="239"/>
      <c r="BC121" s="239"/>
      <c r="BD121" s="239"/>
      <c r="BE121" s="239"/>
      <c r="BF121" s="239"/>
      <c r="BG121" s="239"/>
      <c r="BH121" s="239"/>
      <c r="BI121" s="239"/>
      <c r="BJ121" s="239"/>
      <c r="BK121" s="239"/>
      <c r="BL121" s="239"/>
      <c r="BM121" s="239"/>
      <c r="BN121" s="239"/>
      <c r="BO121" s="239"/>
      <c r="BP121" s="239"/>
      <c r="BQ121" s="239"/>
      <c r="BR121" s="239"/>
      <c r="BS121" s="239"/>
      <c r="BT121" s="239"/>
      <c r="BU121" s="239"/>
      <c r="BV121" s="239"/>
      <c r="BW121" s="239"/>
      <c r="BX121" s="239"/>
      <c r="BY121" s="239"/>
      <c r="BZ121" s="239"/>
    </row>
    <row r="122" ht="16.8" customHeight="1" spans="1:78" x14ac:dyDescent="0.25">
      <c r="A122" s="239"/>
      <c r="B122" s="239"/>
      <c r="C122" s="239"/>
      <c r="D122" s="239"/>
      <c r="E122" s="239"/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  <c r="AA122" s="239"/>
      <c r="AB122" s="239"/>
      <c r="AC122" s="239"/>
      <c r="AD122" s="239"/>
      <c r="AE122" s="239"/>
      <c r="AF122" s="239"/>
      <c r="AG122" s="239"/>
      <c r="AH122" s="239"/>
      <c r="AI122" s="239"/>
      <c r="AJ122" s="239"/>
      <c r="AK122" s="239"/>
      <c r="AL122" s="239"/>
      <c r="AM122" s="239"/>
      <c r="AN122" s="239"/>
      <c r="AO122" s="239"/>
      <c r="AP122" s="239"/>
      <c r="AQ122" s="239"/>
      <c r="AR122" s="239"/>
      <c r="AS122" s="239"/>
      <c r="AT122" s="239"/>
      <c r="AU122" s="239"/>
      <c r="AV122" s="239"/>
      <c r="AW122" s="239"/>
      <c r="AX122" s="239"/>
      <c r="AY122" s="239"/>
      <c r="AZ122" s="239"/>
      <c r="BA122" s="239"/>
      <c r="BB122" s="239"/>
      <c r="BC122" s="239"/>
      <c r="BD122" s="239"/>
      <c r="BE122" s="239"/>
      <c r="BF122" s="239"/>
      <c r="BG122" s="239"/>
      <c r="BH122" s="239"/>
      <c r="BI122" s="239"/>
      <c r="BJ122" s="239"/>
      <c r="BK122" s="239"/>
      <c r="BL122" s="239"/>
      <c r="BM122" s="239"/>
      <c r="BN122" s="239"/>
      <c r="BO122" s="239"/>
      <c r="BP122" s="239"/>
      <c r="BQ122" s="239"/>
      <c r="BR122" s="239"/>
      <c r="BS122" s="239"/>
      <c r="BT122" s="239"/>
      <c r="BU122" s="239"/>
      <c r="BV122" s="239"/>
      <c r="BW122" s="239"/>
      <c r="BX122" s="239"/>
      <c r="BY122" s="239"/>
      <c r="BZ122" s="239"/>
    </row>
    <row r="123" ht="16.8" customHeight="1" spans="1:78" x14ac:dyDescent="0.25">
      <c r="A123" s="239"/>
      <c r="B123" s="239"/>
      <c r="C123" s="239"/>
      <c r="D123" s="239"/>
      <c r="E123" s="239"/>
      <c r="F123" s="239"/>
      <c r="G123" s="239"/>
      <c r="H123" s="239"/>
      <c r="I123" s="239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  <c r="AA123" s="239"/>
      <c r="AB123" s="239"/>
      <c r="AC123" s="239"/>
      <c r="AD123" s="239"/>
      <c r="AE123" s="239"/>
      <c r="AF123" s="239"/>
      <c r="AG123" s="239"/>
      <c r="AH123" s="239"/>
      <c r="AI123" s="239"/>
      <c r="AJ123" s="239"/>
      <c r="AK123" s="239"/>
      <c r="AL123" s="239"/>
      <c r="AM123" s="239"/>
      <c r="AN123" s="239"/>
      <c r="AO123" s="239"/>
      <c r="AP123" s="239"/>
      <c r="AQ123" s="239"/>
      <c r="AR123" s="239"/>
      <c r="AS123" s="239"/>
      <c r="AT123" s="239"/>
      <c r="AU123" s="239"/>
      <c r="AV123" s="239"/>
      <c r="AW123" s="239"/>
      <c r="AX123" s="239"/>
      <c r="AY123" s="239"/>
      <c r="AZ123" s="239"/>
      <c r="BA123" s="239"/>
      <c r="BB123" s="239"/>
      <c r="BC123" s="239"/>
      <c r="BD123" s="239"/>
      <c r="BE123" s="239"/>
      <c r="BF123" s="239"/>
      <c r="BG123" s="239"/>
      <c r="BH123" s="239"/>
      <c r="BI123" s="239"/>
      <c r="BJ123" s="239"/>
      <c r="BK123" s="239"/>
      <c r="BL123" s="239"/>
      <c r="BM123" s="239"/>
      <c r="BN123" s="239"/>
      <c r="BO123" s="239"/>
      <c r="BP123" s="239"/>
      <c r="BQ123" s="239"/>
      <c r="BR123" s="239"/>
      <c r="BS123" s="239"/>
      <c r="BT123" s="239"/>
      <c r="BU123" s="239"/>
      <c r="BV123" s="239"/>
      <c r="BW123" s="239"/>
      <c r="BX123" s="239"/>
      <c r="BY123" s="239"/>
      <c r="BZ123" s="239"/>
    </row>
    <row r="124" ht="16.8" customHeight="1" spans="1:78" x14ac:dyDescent="0.25">
      <c r="A124" s="239"/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  <c r="V124" s="239"/>
      <c r="W124" s="239"/>
      <c r="X124" s="239"/>
      <c r="Y124" s="239"/>
      <c r="Z124" s="239"/>
      <c r="AA124" s="239"/>
      <c r="AB124" s="239"/>
      <c r="AC124" s="239"/>
      <c r="AD124" s="239"/>
      <c r="AE124" s="239"/>
      <c r="AF124" s="239"/>
      <c r="AG124" s="239"/>
      <c r="AH124" s="239"/>
      <c r="AI124" s="239"/>
      <c r="AJ124" s="239"/>
      <c r="AK124" s="239"/>
      <c r="AL124" s="239"/>
      <c r="AM124" s="239"/>
      <c r="AN124" s="239"/>
      <c r="AO124" s="239"/>
      <c r="AP124" s="239"/>
      <c r="AQ124" s="239"/>
      <c r="AR124" s="239"/>
      <c r="AS124" s="239"/>
      <c r="AT124" s="239"/>
      <c r="AU124" s="239"/>
      <c r="AV124" s="239"/>
      <c r="AW124" s="239"/>
      <c r="AX124" s="239"/>
      <c r="AY124" s="239"/>
      <c r="AZ124" s="239"/>
      <c r="BA124" s="239"/>
      <c r="BB124" s="239"/>
      <c r="BC124" s="239"/>
      <c r="BD124" s="239"/>
      <c r="BE124" s="239"/>
      <c r="BF124" s="239"/>
      <c r="BG124" s="239"/>
      <c r="BH124" s="239"/>
      <c r="BI124" s="239"/>
      <c r="BJ124" s="239"/>
      <c r="BK124" s="239"/>
      <c r="BL124" s="239"/>
      <c r="BM124" s="239"/>
      <c r="BN124" s="239"/>
      <c r="BO124" s="239"/>
      <c r="BP124" s="239"/>
      <c r="BQ124" s="239"/>
      <c r="BR124" s="239"/>
      <c r="BS124" s="239"/>
      <c r="BT124" s="239"/>
      <c r="BU124" s="239"/>
      <c r="BV124" s="239"/>
      <c r="BW124" s="239"/>
      <c r="BX124" s="239"/>
      <c r="BY124" s="239"/>
      <c r="BZ124" s="239"/>
    </row>
    <row r="125" ht="16.8" customHeight="1" spans="1:78" x14ac:dyDescent="0.25">
      <c r="A125" s="239"/>
      <c r="B125" s="239"/>
      <c r="C125" s="239"/>
      <c r="D125" s="239"/>
      <c r="E125" s="239"/>
      <c r="F125" s="239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39"/>
      <c r="X125" s="239"/>
      <c r="Y125" s="239"/>
      <c r="Z125" s="239"/>
      <c r="AA125" s="239"/>
      <c r="AB125" s="239"/>
      <c r="AC125" s="239"/>
      <c r="AD125" s="239"/>
      <c r="AE125" s="239"/>
      <c r="AF125" s="239"/>
      <c r="AG125" s="239"/>
      <c r="AH125" s="239"/>
      <c r="AI125" s="239"/>
      <c r="AJ125" s="239"/>
      <c r="AK125" s="239"/>
      <c r="AL125" s="239"/>
      <c r="AM125" s="239"/>
      <c r="AN125" s="239"/>
      <c r="AO125" s="239"/>
      <c r="AP125" s="239"/>
      <c r="AQ125" s="239"/>
      <c r="AR125" s="239"/>
      <c r="AS125" s="239"/>
      <c r="AT125" s="239"/>
      <c r="AU125" s="239"/>
      <c r="AV125" s="239"/>
      <c r="AW125" s="239"/>
      <c r="AX125" s="239"/>
      <c r="AY125" s="239"/>
      <c r="AZ125" s="239"/>
      <c r="BA125" s="239"/>
      <c r="BB125" s="239"/>
      <c r="BC125" s="239"/>
      <c r="BD125" s="239"/>
      <c r="BE125" s="239"/>
      <c r="BF125" s="239"/>
      <c r="BG125" s="239"/>
      <c r="BH125" s="239"/>
      <c r="BI125" s="239"/>
      <c r="BJ125" s="239"/>
      <c r="BK125" s="239"/>
      <c r="BL125" s="239"/>
      <c r="BM125" s="239"/>
      <c r="BN125" s="239"/>
      <c r="BO125" s="239"/>
      <c r="BP125" s="239"/>
      <c r="BQ125" s="239"/>
      <c r="BR125" s="239"/>
      <c r="BS125" s="239"/>
      <c r="BT125" s="239"/>
      <c r="BU125" s="239"/>
      <c r="BV125" s="239"/>
      <c r="BW125" s="239"/>
      <c r="BX125" s="239"/>
      <c r="BY125" s="239"/>
      <c r="BZ125" s="239"/>
    </row>
    <row r="126" ht="16.8" customHeight="1" spans="1:78" x14ac:dyDescent="0.25">
      <c r="A126" s="239"/>
      <c r="B126" s="239"/>
      <c r="C126" s="239"/>
      <c r="D126" s="239"/>
      <c r="E126" s="239"/>
      <c r="F126" s="239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  <c r="AA126" s="239"/>
      <c r="AB126" s="239"/>
      <c r="AC126" s="239"/>
      <c r="AD126" s="239"/>
      <c r="AE126" s="239"/>
      <c r="AF126" s="239"/>
      <c r="AG126" s="239"/>
      <c r="AH126" s="239"/>
      <c r="AI126" s="239"/>
      <c r="AJ126" s="239"/>
      <c r="AK126" s="239"/>
      <c r="AL126" s="239"/>
      <c r="AM126" s="239"/>
      <c r="AN126" s="239"/>
      <c r="AO126" s="239"/>
      <c r="AP126" s="239"/>
      <c r="AQ126" s="239"/>
      <c r="AR126" s="239"/>
      <c r="AS126" s="239"/>
      <c r="AT126" s="239"/>
      <c r="AU126" s="239"/>
      <c r="AV126" s="239"/>
      <c r="AW126" s="239"/>
      <c r="AX126" s="239"/>
      <c r="AY126" s="239"/>
      <c r="AZ126" s="239"/>
      <c r="BA126" s="239"/>
      <c r="BB126" s="239"/>
      <c r="BC126" s="239"/>
      <c r="BD126" s="239"/>
      <c r="BE126" s="239"/>
      <c r="BF126" s="239"/>
      <c r="BG126" s="239"/>
      <c r="BH126" s="239"/>
      <c r="BI126" s="239"/>
      <c r="BJ126" s="239"/>
      <c r="BK126" s="239"/>
      <c r="BL126" s="239"/>
      <c r="BM126" s="239"/>
      <c r="BN126" s="239"/>
      <c r="BO126" s="239"/>
      <c r="BP126" s="239"/>
      <c r="BQ126" s="239"/>
      <c r="BR126" s="239"/>
      <c r="BS126" s="239"/>
      <c r="BT126" s="239"/>
      <c r="BU126" s="239"/>
      <c r="BV126" s="239"/>
      <c r="BW126" s="239"/>
      <c r="BX126" s="239"/>
      <c r="BY126" s="239"/>
      <c r="BZ126" s="239"/>
    </row>
    <row r="127" ht="16.8" customHeight="1" spans="1:78" x14ac:dyDescent="0.25">
      <c r="A127" s="239"/>
      <c r="B127" s="239"/>
      <c r="C127" s="239"/>
      <c r="D127" s="239"/>
      <c r="E127" s="239"/>
      <c r="F127" s="239"/>
      <c r="G127" s="239"/>
      <c r="H127" s="239"/>
      <c r="I127" s="239"/>
      <c r="J127" s="239"/>
      <c r="K127" s="239"/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  <c r="V127" s="239"/>
      <c r="W127" s="239"/>
      <c r="X127" s="239"/>
      <c r="Y127" s="239"/>
      <c r="Z127" s="239"/>
      <c r="AA127" s="239"/>
      <c r="AB127" s="239"/>
      <c r="AC127" s="239"/>
      <c r="AD127" s="239"/>
      <c r="AE127" s="239"/>
      <c r="AF127" s="239"/>
      <c r="AG127" s="239"/>
      <c r="AH127" s="239"/>
      <c r="AI127" s="239"/>
      <c r="AJ127" s="239"/>
      <c r="AK127" s="239"/>
      <c r="AL127" s="239"/>
      <c r="AM127" s="239"/>
      <c r="AN127" s="239"/>
      <c r="AO127" s="239"/>
      <c r="AP127" s="239"/>
      <c r="AQ127" s="239"/>
      <c r="AR127" s="239"/>
      <c r="AS127" s="239"/>
      <c r="AT127" s="239"/>
      <c r="AU127" s="239"/>
      <c r="AV127" s="239"/>
      <c r="AW127" s="239"/>
      <c r="AX127" s="239"/>
      <c r="AY127" s="239"/>
      <c r="AZ127" s="239"/>
      <c r="BA127" s="239"/>
      <c r="BB127" s="239"/>
      <c r="BC127" s="239"/>
      <c r="BD127" s="239"/>
      <c r="BE127" s="239"/>
      <c r="BF127" s="239"/>
      <c r="BG127" s="239"/>
      <c r="BH127" s="239"/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39"/>
      <c r="BS127" s="239"/>
      <c r="BT127" s="239"/>
      <c r="BU127" s="239"/>
      <c r="BV127" s="239"/>
      <c r="BW127" s="239"/>
      <c r="BX127" s="239"/>
      <c r="BY127" s="239"/>
      <c r="BZ127" s="239"/>
    </row>
    <row r="128" ht="16.8" customHeight="1" spans="1:78" x14ac:dyDescent="0.25">
      <c r="A128" s="239"/>
      <c r="B128" s="239"/>
      <c r="C128" s="239"/>
      <c r="D128" s="239"/>
      <c r="E128" s="239"/>
      <c r="F128" s="239"/>
      <c r="G128" s="239"/>
      <c r="H128" s="239"/>
      <c r="I128" s="239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  <c r="V128" s="239"/>
      <c r="W128" s="239"/>
      <c r="X128" s="239"/>
      <c r="Y128" s="239"/>
      <c r="Z128" s="239"/>
      <c r="AA128" s="239"/>
      <c r="AB128" s="239"/>
      <c r="AC128" s="239"/>
      <c r="AD128" s="239"/>
      <c r="AE128" s="239"/>
      <c r="AF128" s="239"/>
      <c r="AG128" s="239"/>
      <c r="AH128" s="239"/>
      <c r="AI128" s="239"/>
      <c r="AJ128" s="239"/>
      <c r="AK128" s="239"/>
      <c r="AL128" s="239"/>
      <c r="AM128" s="239"/>
      <c r="AN128" s="239"/>
      <c r="AO128" s="239"/>
      <c r="AP128" s="239"/>
      <c r="AQ128" s="239"/>
      <c r="AR128" s="239"/>
      <c r="AS128" s="239"/>
      <c r="AT128" s="239"/>
      <c r="AU128" s="239"/>
      <c r="AV128" s="239"/>
      <c r="AW128" s="239"/>
      <c r="AX128" s="239"/>
      <c r="AY128" s="239"/>
      <c r="AZ128" s="239"/>
      <c r="BA128" s="239"/>
      <c r="BB128" s="239"/>
      <c r="BC128" s="239"/>
      <c r="BD128" s="239"/>
      <c r="BE128" s="239"/>
      <c r="BF128" s="239"/>
      <c r="BG128" s="239"/>
      <c r="BH128" s="239"/>
      <c r="BI128" s="239"/>
      <c r="BJ128" s="239"/>
      <c r="BK128" s="239"/>
      <c r="BL128" s="239"/>
      <c r="BM128" s="239"/>
      <c r="BN128" s="239"/>
      <c r="BO128" s="239"/>
      <c r="BP128" s="239"/>
      <c r="BQ128" s="239"/>
      <c r="BR128" s="239"/>
      <c r="BS128" s="239"/>
      <c r="BT128" s="239"/>
      <c r="BU128" s="239"/>
      <c r="BV128" s="239"/>
      <c r="BW128" s="239"/>
      <c r="BX128" s="239"/>
      <c r="BY128" s="239"/>
      <c r="BZ128" s="239"/>
    </row>
    <row r="129" ht="16.8" customHeight="1" spans="1:78" x14ac:dyDescent="0.25">
      <c r="A129" s="239"/>
      <c r="B129" s="239"/>
      <c r="C129" s="239"/>
      <c r="D129" s="239"/>
      <c r="E129" s="239"/>
      <c r="F129" s="239"/>
      <c r="G129" s="239"/>
      <c r="H129" s="239"/>
      <c r="I129" s="239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239"/>
      <c r="AP129" s="239"/>
      <c r="AQ129" s="239"/>
      <c r="AR129" s="239"/>
      <c r="AS129" s="239"/>
      <c r="AT129" s="239"/>
      <c r="AU129" s="239"/>
      <c r="AV129" s="239"/>
      <c r="AW129" s="239"/>
      <c r="AX129" s="239"/>
      <c r="AY129" s="239"/>
      <c r="AZ129" s="239"/>
      <c r="BA129" s="239"/>
      <c r="BB129" s="239"/>
      <c r="BC129" s="239"/>
      <c r="BD129" s="239"/>
      <c r="BE129" s="239"/>
      <c r="BF129" s="239"/>
      <c r="BG129" s="239"/>
      <c r="BH129" s="239"/>
      <c r="BI129" s="239"/>
      <c r="BJ129" s="239"/>
      <c r="BK129" s="239"/>
      <c r="BL129" s="239"/>
      <c r="BM129" s="239"/>
      <c r="BN129" s="239"/>
      <c r="BO129" s="239"/>
      <c r="BP129" s="239"/>
      <c r="BQ129" s="239"/>
      <c r="BR129" s="239"/>
      <c r="BS129" s="239"/>
      <c r="BT129" s="239"/>
      <c r="BU129" s="239"/>
      <c r="BV129" s="239"/>
      <c r="BW129" s="239"/>
      <c r="BX129" s="239"/>
      <c r="BY129" s="239"/>
      <c r="BZ129" s="239"/>
    </row>
    <row r="130" ht="16.8" customHeight="1" spans="1:78" x14ac:dyDescent="0.25">
      <c r="A130" s="239"/>
      <c r="B130" s="239"/>
      <c r="C130" s="239"/>
      <c r="D130" s="239"/>
      <c r="E130" s="239"/>
      <c r="F130" s="239"/>
      <c r="G130" s="239"/>
      <c r="H130" s="239"/>
      <c r="I130" s="239"/>
      <c r="J130" s="239"/>
      <c r="K130" s="239"/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  <c r="V130" s="239"/>
      <c r="W130" s="239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/>
      <c r="AI130" s="239"/>
      <c r="AJ130" s="239"/>
      <c r="AK130" s="239"/>
      <c r="AL130" s="239"/>
      <c r="AM130" s="239"/>
      <c r="AN130" s="239"/>
      <c r="AO130" s="239"/>
      <c r="AP130" s="239"/>
      <c r="AQ130" s="239"/>
      <c r="AR130" s="239"/>
      <c r="AS130" s="239"/>
      <c r="AT130" s="239"/>
      <c r="AU130" s="239"/>
      <c r="AV130" s="239"/>
      <c r="AW130" s="239"/>
      <c r="AX130" s="239"/>
      <c r="AY130" s="239"/>
      <c r="AZ130" s="239"/>
      <c r="BA130" s="239"/>
      <c r="BB130" s="239"/>
      <c r="BC130" s="239"/>
      <c r="BD130" s="239"/>
      <c r="BE130" s="239"/>
      <c r="BF130" s="239"/>
      <c r="BG130" s="239"/>
      <c r="BH130" s="239"/>
      <c r="BI130" s="239"/>
      <c r="BJ130" s="239"/>
      <c r="BK130" s="239"/>
      <c r="BL130" s="239"/>
      <c r="BM130" s="239"/>
      <c r="BN130" s="239"/>
      <c r="BO130" s="239"/>
      <c r="BP130" s="239"/>
      <c r="BQ130" s="239"/>
      <c r="BR130" s="239"/>
      <c r="BS130" s="239"/>
      <c r="BT130" s="239"/>
      <c r="BU130" s="239"/>
      <c r="BV130" s="239"/>
      <c r="BW130" s="239"/>
      <c r="BX130" s="239"/>
      <c r="BY130" s="239"/>
      <c r="BZ130" s="239"/>
    </row>
    <row r="131" ht="16.8" customHeight="1" spans="1:78" x14ac:dyDescent="0.25">
      <c r="A131" s="239"/>
      <c r="B131" s="239"/>
      <c r="C131" s="239"/>
      <c r="D131" s="239"/>
      <c r="E131" s="239"/>
      <c r="F131" s="239"/>
      <c r="G131" s="239"/>
      <c r="H131" s="239"/>
      <c r="I131" s="239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  <c r="AA131" s="239"/>
      <c r="AB131" s="239"/>
      <c r="AC131" s="239"/>
      <c r="AD131" s="239"/>
      <c r="AE131" s="239"/>
      <c r="AF131" s="239"/>
      <c r="AG131" s="239"/>
      <c r="AH131" s="239"/>
      <c r="AI131" s="239"/>
      <c r="AJ131" s="239"/>
      <c r="AK131" s="239"/>
      <c r="AL131" s="239"/>
      <c r="AM131" s="239"/>
      <c r="AN131" s="239"/>
      <c r="AO131" s="239"/>
      <c r="AP131" s="239"/>
      <c r="AQ131" s="239"/>
      <c r="AR131" s="239"/>
      <c r="AS131" s="239"/>
      <c r="AT131" s="239"/>
      <c r="AU131" s="239"/>
      <c r="AV131" s="239"/>
      <c r="AW131" s="239"/>
      <c r="AX131" s="239"/>
      <c r="AY131" s="239"/>
      <c r="AZ131" s="239"/>
      <c r="BA131" s="239"/>
      <c r="BB131" s="239"/>
      <c r="BC131" s="239"/>
      <c r="BD131" s="239"/>
      <c r="BE131" s="239"/>
      <c r="BF131" s="239"/>
      <c r="BG131" s="239"/>
      <c r="BH131" s="239"/>
      <c r="BI131" s="239"/>
      <c r="BJ131" s="239"/>
      <c r="BK131" s="239"/>
      <c r="BL131" s="239"/>
      <c r="BM131" s="239"/>
      <c r="BN131" s="239"/>
      <c r="BO131" s="239"/>
      <c r="BP131" s="239"/>
      <c r="BQ131" s="239"/>
      <c r="BR131" s="239"/>
      <c r="BS131" s="239"/>
      <c r="BT131" s="239"/>
      <c r="BU131" s="239"/>
      <c r="BV131" s="239"/>
      <c r="BW131" s="239"/>
      <c r="BX131" s="239"/>
      <c r="BY131" s="239"/>
      <c r="BZ131" s="239"/>
    </row>
    <row r="132" ht="16.8" customHeight="1" spans="1:78" x14ac:dyDescent="0.25">
      <c r="A132" s="239"/>
      <c r="B132" s="239"/>
      <c r="C132" s="239"/>
      <c r="D132" s="239"/>
      <c r="E132" s="239"/>
      <c r="F132" s="239"/>
      <c r="G132" s="239"/>
      <c r="H132" s="239"/>
      <c r="I132" s="239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  <c r="V132" s="239"/>
      <c r="W132" s="239"/>
      <c r="X132" s="239"/>
      <c r="Y132" s="239"/>
      <c r="Z132" s="239"/>
      <c r="AA132" s="239"/>
      <c r="AB132" s="239"/>
      <c r="AC132" s="239"/>
      <c r="AD132" s="239"/>
      <c r="AE132" s="239"/>
      <c r="AF132" s="239"/>
      <c r="AG132" s="239"/>
      <c r="AH132" s="239"/>
      <c r="AI132" s="239"/>
      <c r="AJ132" s="239"/>
      <c r="AK132" s="239"/>
      <c r="AL132" s="239"/>
      <c r="AM132" s="239"/>
      <c r="AN132" s="239"/>
      <c r="AO132" s="239"/>
      <c r="AP132" s="239"/>
      <c r="AQ132" s="239"/>
      <c r="AR132" s="239"/>
      <c r="AS132" s="239"/>
      <c r="AT132" s="239"/>
      <c r="AU132" s="239"/>
      <c r="AV132" s="239"/>
      <c r="AW132" s="239"/>
      <c r="AX132" s="239"/>
      <c r="AY132" s="239"/>
      <c r="AZ132" s="239"/>
      <c r="BA132" s="239"/>
      <c r="BB132" s="239"/>
      <c r="BC132" s="239"/>
      <c r="BD132" s="239"/>
      <c r="BE132" s="239"/>
      <c r="BF132" s="239"/>
      <c r="BG132" s="239"/>
      <c r="BH132" s="239"/>
      <c r="BI132" s="239"/>
      <c r="BJ132" s="239"/>
      <c r="BK132" s="239"/>
      <c r="BL132" s="239"/>
      <c r="BM132" s="239"/>
      <c r="BN132" s="239"/>
      <c r="BO132" s="239"/>
      <c r="BP132" s="239"/>
      <c r="BQ132" s="239"/>
      <c r="BR132" s="239"/>
      <c r="BS132" s="239"/>
      <c r="BT132" s="239"/>
      <c r="BU132" s="239"/>
      <c r="BV132" s="239"/>
      <c r="BW132" s="239"/>
      <c r="BX132" s="239"/>
      <c r="BY132" s="239"/>
      <c r="BZ132" s="239"/>
    </row>
    <row r="133" ht="16.8" customHeight="1" spans="1:78" x14ac:dyDescent="0.25">
      <c r="A133" s="239"/>
      <c r="B133" s="239"/>
      <c r="C133" s="239"/>
      <c r="D133" s="239"/>
      <c r="E133" s="239"/>
      <c r="F133" s="239"/>
      <c r="G133" s="239"/>
      <c r="H133" s="239"/>
      <c r="I133" s="239"/>
      <c r="J133" s="239"/>
      <c r="K133" s="239"/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  <c r="V133" s="239"/>
      <c r="W133" s="239"/>
      <c r="X133" s="239"/>
      <c r="Y133" s="239"/>
      <c r="Z133" s="239"/>
      <c r="AA133" s="239"/>
      <c r="AB133" s="239"/>
      <c r="AC133" s="239"/>
      <c r="AD133" s="239"/>
      <c r="AE133" s="239"/>
      <c r="AF133" s="239"/>
      <c r="AG133" s="239"/>
      <c r="AH133" s="239"/>
      <c r="AI133" s="239"/>
      <c r="AJ133" s="239"/>
      <c r="AK133" s="239"/>
      <c r="AL133" s="239"/>
      <c r="AM133" s="239"/>
      <c r="AN133" s="239"/>
      <c r="AO133" s="239"/>
      <c r="AP133" s="239"/>
      <c r="AQ133" s="239"/>
      <c r="AR133" s="239"/>
      <c r="AS133" s="239"/>
      <c r="AT133" s="239"/>
      <c r="AU133" s="239"/>
      <c r="AV133" s="239"/>
      <c r="AW133" s="239"/>
      <c r="AX133" s="239"/>
      <c r="AY133" s="239"/>
      <c r="AZ133" s="239"/>
      <c r="BA133" s="239"/>
      <c r="BB133" s="239"/>
      <c r="BC133" s="239"/>
      <c r="BD133" s="239"/>
      <c r="BE133" s="239"/>
      <c r="BF133" s="239"/>
      <c r="BG133" s="239"/>
      <c r="BH133" s="239"/>
      <c r="BI133" s="239"/>
      <c r="BJ133" s="239"/>
      <c r="BK133" s="239"/>
      <c r="BL133" s="239"/>
      <c r="BM133" s="239"/>
      <c r="BN133" s="239"/>
      <c r="BO133" s="239"/>
      <c r="BP133" s="239"/>
      <c r="BQ133" s="239"/>
      <c r="BR133" s="239"/>
      <c r="BS133" s="239"/>
      <c r="BT133" s="239"/>
      <c r="BU133" s="239"/>
      <c r="BV133" s="239"/>
      <c r="BW133" s="239"/>
      <c r="BX133" s="239"/>
      <c r="BY133" s="239"/>
      <c r="BZ133" s="239"/>
    </row>
    <row r="134" ht="16.8" customHeight="1" spans="1:78" x14ac:dyDescent="0.25">
      <c r="A134" s="239"/>
      <c r="B134" s="239"/>
      <c r="C134" s="239"/>
      <c r="D134" s="239"/>
      <c r="E134" s="239"/>
      <c r="F134" s="239"/>
      <c r="G134" s="239"/>
      <c r="H134" s="239"/>
      <c r="I134" s="239"/>
      <c r="J134" s="239"/>
      <c r="K134" s="239"/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  <c r="V134" s="239"/>
      <c r="W134" s="239"/>
      <c r="X134" s="239"/>
      <c r="Y134" s="239"/>
      <c r="Z134" s="239"/>
      <c r="AA134" s="239"/>
      <c r="AB134" s="239"/>
      <c r="AC134" s="239"/>
      <c r="AD134" s="239"/>
      <c r="AE134" s="239"/>
      <c r="AF134" s="239"/>
      <c r="AG134" s="239"/>
      <c r="AH134" s="239"/>
      <c r="AI134" s="239"/>
      <c r="AJ134" s="239"/>
      <c r="AK134" s="239"/>
      <c r="AL134" s="239"/>
      <c r="AM134" s="239"/>
      <c r="AN134" s="239"/>
      <c r="AO134" s="239"/>
      <c r="AP134" s="239"/>
      <c r="AQ134" s="239"/>
      <c r="AR134" s="239"/>
      <c r="AS134" s="239"/>
      <c r="AT134" s="239"/>
      <c r="AU134" s="239"/>
      <c r="AV134" s="239"/>
      <c r="AW134" s="239"/>
      <c r="AX134" s="239"/>
      <c r="AY134" s="239"/>
      <c r="AZ134" s="239"/>
      <c r="BA134" s="239"/>
      <c r="BB134" s="239"/>
      <c r="BC134" s="239"/>
      <c r="BD134" s="239"/>
      <c r="BE134" s="239"/>
      <c r="BF134" s="239"/>
      <c r="BG134" s="239"/>
      <c r="BH134" s="239"/>
      <c r="BI134" s="239"/>
      <c r="BJ134" s="239"/>
      <c r="BK134" s="239"/>
      <c r="BL134" s="239"/>
      <c r="BM134" s="239"/>
      <c r="BN134" s="239"/>
      <c r="BO134" s="239"/>
      <c r="BP134" s="239"/>
      <c r="BQ134" s="239"/>
      <c r="BR134" s="239"/>
      <c r="BS134" s="239"/>
      <c r="BT134" s="239"/>
      <c r="BU134" s="239"/>
      <c r="BV134" s="239"/>
      <c r="BW134" s="239"/>
      <c r="BX134" s="239"/>
      <c r="BY134" s="239"/>
      <c r="BZ134" s="239"/>
    </row>
    <row r="135" ht="16.8" customHeight="1" spans="1:78" x14ac:dyDescent="0.25">
      <c r="A135" s="239"/>
      <c r="B135" s="239"/>
      <c r="C135" s="239"/>
      <c r="D135" s="239"/>
      <c r="E135" s="239"/>
      <c r="F135" s="239"/>
      <c r="G135" s="239"/>
      <c r="H135" s="239"/>
      <c r="I135" s="239"/>
      <c r="J135" s="239"/>
      <c r="K135" s="239"/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  <c r="V135" s="239"/>
      <c r="W135" s="239"/>
      <c r="X135" s="239"/>
      <c r="Y135" s="239"/>
      <c r="Z135" s="239"/>
      <c r="AA135" s="239"/>
      <c r="AB135" s="239"/>
      <c r="AC135" s="239"/>
      <c r="AD135" s="239"/>
      <c r="AE135" s="239"/>
      <c r="AF135" s="239"/>
      <c r="AG135" s="239"/>
      <c r="AH135" s="239"/>
      <c r="AI135" s="239"/>
      <c r="AJ135" s="239"/>
      <c r="AK135" s="239"/>
      <c r="AL135" s="239"/>
      <c r="AM135" s="239"/>
      <c r="AN135" s="239"/>
      <c r="AO135" s="239"/>
      <c r="AP135" s="239"/>
      <c r="AQ135" s="239"/>
      <c r="AR135" s="239"/>
      <c r="AS135" s="239"/>
      <c r="AT135" s="239"/>
      <c r="AU135" s="239"/>
      <c r="AV135" s="239"/>
      <c r="AW135" s="239"/>
      <c r="AX135" s="239"/>
      <c r="AY135" s="239"/>
      <c r="AZ135" s="239"/>
      <c r="BA135" s="239"/>
      <c r="BB135" s="239"/>
      <c r="BC135" s="239"/>
      <c r="BD135" s="239"/>
      <c r="BE135" s="239"/>
      <c r="BF135" s="239"/>
      <c r="BG135" s="239"/>
      <c r="BH135" s="239"/>
      <c r="BI135" s="239"/>
      <c r="BJ135" s="239"/>
      <c r="BK135" s="239"/>
      <c r="BL135" s="239"/>
      <c r="BM135" s="239"/>
      <c r="BN135" s="239"/>
      <c r="BO135" s="239"/>
      <c r="BP135" s="239"/>
      <c r="BQ135" s="239"/>
      <c r="BR135" s="239"/>
      <c r="BS135" s="239"/>
      <c r="BT135" s="239"/>
      <c r="BU135" s="239"/>
      <c r="BV135" s="239"/>
      <c r="BW135" s="239"/>
      <c r="BX135" s="239"/>
      <c r="BY135" s="239"/>
      <c r="BZ135" s="239"/>
    </row>
    <row r="136" ht="16.8" customHeight="1" spans="1:78" x14ac:dyDescent="0.25">
      <c r="A136" s="239"/>
      <c r="B136" s="239"/>
      <c r="C136" s="239"/>
      <c r="D136" s="239"/>
      <c r="E136" s="239"/>
      <c r="F136" s="239"/>
      <c r="G136" s="239"/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  <c r="AA136" s="239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39"/>
      <c r="AL136" s="239"/>
      <c r="AM136" s="239"/>
      <c r="AN136" s="239"/>
      <c r="AO136" s="239"/>
      <c r="AP136" s="239"/>
      <c r="AQ136" s="239"/>
      <c r="AR136" s="239"/>
      <c r="AS136" s="239"/>
      <c r="AT136" s="239"/>
      <c r="AU136" s="239"/>
      <c r="AV136" s="239"/>
      <c r="AW136" s="239"/>
      <c r="AX136" s="239"/>
      <c r="AY136" s="239"/>
      <c r="AZ136" s="239"/>
      <c r="BA136" s="239"/>
      <c r="BB136" s="239"/>
      <c r="BC136" s="239"/>
      <c r="BD136" s="239"/>
      <c r="BE136" s="239"/>
      <c r="BF136" s="239"/>
      <c r="BG136" s="239"/>
      <c r="BH136" s="239"/>
      <c r="BI136" s="239"/>
      <c r="BJ136" s="239"/>
      <c r="BK136" s="239"/>
      <c r="BL136" s="239"/>
      <c r="BM136" s="239"/>
      <c r="BN136" s="239"/>
      <c r="BO136" s="239"/>
      <c r="BP136" s="239"/>
      <c r="BQ136" s="239"/>
      <c r="BR136" s="239"/>
      <c r="BS136" s="239"/>
      <c r="BT136" s="239"/>
      <c r="BU136" s="239"/>
      <c r="BV136" s="239"/>
      <c r="BW136" s="239"/>
      <c r="BX136" s="239"/>
      <c r="BY136" s="239"/>
      <c r="BZ136" s="239"/>
    </row>
    <row r="137" ht="16.8" customHeight="1" spans="1:78" x14ac:dyDescent="0.25">
      <c r="A137" s="239"/>
      <c r="B137" s="239"/>
      <c r="C137" s="239"/>
      <c r="D137" s="239"/>
      <c r="E137" s="239"/>
      <c r="F137" s="239"/>
      <c r="G137" s="239"/>
      <c r="H137" s="239"/>
      <c r="I137" s="239"/>
      <c r="J137" s="239"/>
      <c r="K137" s="239"/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  <c r="V137" s="239"/>
      <c r="W137" s="239"/>
      <c r="X137" s="239"/>
      <c r="Y137" s="239"/>
      <c r="Z137" s="239"/>
      <c r="AA137" s="239"/>
      <c r="AB137" s="239"/>
      <c r="AC137" s="239"/>
      <c r="AD137" s="239"/>
      <c r="AE137" s="239"/>
      <c r="AF137" s="239"/>
      <c r="AG137" s="239"/>
      <c r="AH137" s="239"/>
      <c r="AI137" s="239"/>
      <c r="AJ137" s="239"/>
      <c r="AK137" s="239"/>
      <c r="AL137" s="239"/>
      <c r="AM137" s="239"/>
      <c r="AN137" s="239"/>
      <c r="AO137" s="239"/>
      <c r="AP137" s="239"/>
      <c r="AQ137" s="239"/>
      <c r="AR137" s="239"/>
      <c r="AS137" s="239"/>
      <c r="AT137" s="239"/>
      <c r="AU137" s="239"/>
      <c r="AV137" s="239"/>
      <c r="AW137" s="239"/>
      <c r="AX137" s="239"/>
      <c r="AY137" s="239"/>
      <c r="AZ137" s="239"/>
      <c r="BA137" s="239"/>
      <c r="BB137" s="239"/>
      <c r="BC137" s="239"/>
      <c r="BD137" s="239"/>
      <c r="BE137" s="239"/>
      <c r="BF137" s="239"/>
      <c r="BG137" s="239"/>
      <c r="BH137" s="239"/>
      <c r="BI137" s="239"/>
      <c r="BJ137" s="239"/>
      <c r="BK137" s="239"/>
      <c r="BL137" s="239"/>
      <c r="BM137" s="239"/>
      <c r="BN137" s="239"/>
      <c r="BO137" s="239"/>
      <c r="BP137" s="239"/>
      <c r="BQ137" s="239"/>
      <c r="BR137" s="239"/>
      <c r="BS137" s="239"/>
      <c r="BT137" s="239"/>
      <c r="BU137" s="239"/>
      <c r="BV137" s="239"/>
      <c r="BW137" s="239"/>
      <c r="BX137" s="239"/>
      <c r="BY137" s="239"/>
      <c r="BZ137" s="239"/>
    </row>
    <row r="138" ht="16.8" customHeight="1" spans="1:78" x14ac:dyDescent="0.25">
      <c r="A138" s="239"/>
      <c r="B138" s="239"/>
      <c r="C138" s="239"/>
      <c r="D138" s="239"/>
      <c r="E138" s="239"/>
      <c r="F138" s="239"/>
      <c r="G138" s="239"/>
      <c r="H138" s="239"/>
      <c r="I138" s="239"/>
      <c r="J138" s="239"/>
      <c r="K138" s="239"/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  <c r="AA138" s="239"/>
      <c r="AB138" s="239"/>
      <c r="AC138" s="239"/>
      <c r="AD138" s="239"/>
      <c r="AE138" s="239"/>
      <c r="AF138" s="239"/>
      <c r="AG138" s="239"/>
      <c r="AH138" s="239"/>
      <c r="AI138" s="239"/>
      <c r="AJ138" s="239"/>
      <c r="AK138" s="239"/>
      <c r="AL138" s="239"/>
      <c r="AM138" s="239"/>
      <c r="AN138" s="239"/>
      <c r="AO138" s="239"/>
      <c r="AP138" s="239"/>
      <c r="AQ138" s="239"/>
      <c r="AR138" s="239"/>
      <c r="AS138" s="239"/>
      <c r="AT138" s="239"/>
      <c r="AU138" s="239"/>
      <c r="AV138" s="239"/>
      <c r="AW138" s="239"/>
      <c r="AX138" s="239"/>
      <c r="AY138" s="239"/>
      <c r="AZ138" s="239"/>
      <c r="BA138" s="239"/>
      <c r="BB138" s="239"/>
      <c r="BC138" s="239"/>
      <c r="BD138" s="239"/>
      <c r="BE138" s="239"/>
      <c r="BF138" s="239"/>
      <c r="BG138" s="239"/>
      <c r="BH138" s="239"/>
      <c r="BI138" s="239"/>
      <c r="BJ138" s="239"/>
      <c r="BK138" s="239"/>
      <c r="BL138" s="239"/>
      <c r="BM138" s="239"/>
      <c r="BN138" s="239"/>
      <c r="BO138" s="239"/>
      <c r="BP138" s="239"/>
      <c r="BQ138" s="239"/>
      <c r="BR138" s="239"/>
      <c r="BS138" s="239"/>
      <c r="BT138" s="239"/>
      <c r="BU138" s="239"/>
      <c r="BV138" s="239"/>
      <c r="BW138" s="239"/>
      <c r="BX138" s="239"/>
      <c r="BY138" s="239"/>
      <c r="BZ138" s="239"/>
    </row>
    <row r="139" ht="16.8" customHeight="1" spans="1:78" x14ac:dyDescent="0.25">
      <c r="A139" s="239"/>
      <c r="B139" s="239"/>
      <c r="C139" s="239"/>
      <c r="D139" s="239"/>
      <c r="E139" s="239"/>
      <c r="F139" s="239"/>
      <c r="G139" s="239"/>
      <c r="H139" s="239"/>
      <c r="I139" s="239"/>
      <c r="J139" s="239"/>
      <c r="K139" s="239"/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  <c r="V139" s="239"/>
      <c r="W139" s="239"/>
      <c r="X139" s="239"/>
      <c r="Y139" s="239"/>
      <c r="Z139" s="239"/>
      <c r="AA139" s="239"/>
      <c r="AB139" s="239"/>
      <c r="AC139" s="239"/>
      <c r="AD139" s="239"/>
      <c r="AE139" s="239"/>
      <c r="AF139" s="239"/>
      <c r="AG139" s="239"/>
      <c r="AH139" s="239"/>
      <c r="AI139" s="239"/>
      <c r="AJ139" s="239"/>
      <c r="AK139" s="239"/>
      <c r="AL139" s="239"/>
      <c r="AM139" s="239"/>
      <c r="AN139" s="239"/>
      <c r="AO139" s="239"/>
      <c r="AP139" s="239"/>
      <c r="AQ139" s="239"/>
      <c r="AR139" s="239"/>
      <c r="AS139" s="239"/>
      <c r="AT139" s="239"/>
      <c r="AU139" s="239"/>
      <c r="AV139" s="239"/>
      <c r="AW139" s="239"/>
      <c r="AX139" s="239"/>
      <c r="AY139" s="239"/>
      <c r="AZ139" s="239"/>
      <c r="BA139" s="239"/>
      <c r="BB139" s="239"/>
      <c r="BC139" s="239"/>
      <c r="BD139" s="239"/>
      <c r="BE139" s="239"/>
      <c r="BF139" s="239"/>
      <c r="BG139" s="239"/>
      <c r="BH139" s="239"/>
      <c r="BI139" s="239"/>
      <c r="BJ139" s="239"/>
      <c r="BK139" s="239"/>
      <c r="BL139" s="239"/>
      <c r="BM139" s="239"/>
      <c r="BN139" s="239"/>
      <c r="BO139" s="239"/>
      <c r="BP139" s="239"/>
      <c r="BQ139" s="239"/>
      <c r="BR139" s="239"/>
      <c r="BS139" s="239"/>
      <c r="BT139" s="239"/>
      <c r="BU139" s="239"/>
      <c r="BV139" s="239"/>
      <c r="BW139" s="239"/>
      <c r="BX139" s="239"/>
      <c r="BY139" s="239"/>
      <c r="BZ139" s="239"/>
    </row>
    <row r="140" ht="16.8" customHeight="1" spans="1:78" x14ac:dyDescent="0.25">
      <c r="A140" s="239"/>
      <c r="B140" s="239"/>
      <c r="C140" s="239"/>
      <c r="D140" s="239"/>
      <c r="E140" s="239"/>
      <c r="F140" s="239"/>
      <c r="G140" s="239"/>
      <c r="H140" s="239"/>
      <c r="I140" s="239"/>
      <c r="J140" s="239"/>
      <c r="K140" s="239"/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  <c r="V140" s="239"/>
      <c r="W140" s="239"/>
      <c r="X140" s="239"/>
      <c r="Y140" s="239"/>
      <c r="Z140" s="239"/>
      <c r="AA140" s="239"/>
      <c r="AB140" s="239"/>
      <c r="AC140" s="239"/>
      <c r="AD140" s="239"/>
      <c r="AE140" s="239"/>
      <c r="AF140" s="239"/>
      <c r="AG140" s="239"/>
      <c r="AH140" s="239"/>
      <c r="AI140" s="239"/>
      <c r="AJ140" s="239"/>
      <c r="AK140" s="239"/>
      <c r="AL140" s="239"/>
      <c r="AM140" s="239"/>
      <c r="AN140" s="239"/>
      <c r="AO140" s="239"/>
      <c r="AP140" s="239"/>
      <c r="AQ140" s="239"/>
      <c r="AR140" s="239"/>
      <c r="AS140" s="239"/>
      <c r="AT140" s="239"/>
      <c r="AU140" s="239"/>
      <c r="AV140" s="239"/>
      <c r="AW140" s="239"/>
      <c r="AX140" s="239"/>
      <c r="AY140" s="239"/>
      <c r="AZ140" s="239"/>
      <c r="BA140" s="239"/>
      <c r="BB140" s="239"/>
      <c r="BC140" s="239"/>
      <c r="BD140" s="239"/>
      <c r="BE140" s="239"/>
      <c r="BF140" s="239"/>
      <c r="BG140" s="239"/>
      <c r="BH140" s="239"/>
      <c r="BI140" s="239"/>
      <c r="BJ140" s="239"/>
      <c r="BK140" s="239"/>
      <c r="BL140" s="239"/>
      <c r="BM140" s="239"/>
      <c r="BN140" s="239"/>
      <c r="BO140" s="239"/>
      <c r="BP140" s="239"/>
      <c r="BQ140" s="239"/>
      <c r="BR140" s="239"/>
      <c r="BS140" s="239"/>
      <c r="BT140" s="239"/>
      <c r="BU140" s="239"/>
      <c r="BV140" s="239"/>
      <c r="BW140" s="239"/>
      <c r="BX140" s="239"/>
      <c r="BY140" s="239"/>
      <c r="BZ140" s="239"/>
    </row>
    <row r="141" ht="16.8" customHeight="1" spans="1:78" x14ac:dyDescent="0.25">
      <c r="A141" s="239"/>
      <c r="B141" s="239"/>
      <c r="C141" s="239"/>
      <c r="D141" s="239"/>
      <c r="E141" s="239"/>
      <c r="F141" s="239"/>
      <c r="G141" s="239"/>
      <c r="H141" s="239"/>
      <c r="I141" s="239"/>
      <c r="J141" s="239"/>
      <c r="K141" s="239"/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  <c r="V141" s="239"/>
      <c r="W141" s="239"/>
      <c r="X141" s="239"/>
      <c r="Y141" s="239"/>
      <c r="Z141" s="239"/>
      <c r="AA141" s="239"/>
      <c r="AB141" s="239"/>
      <c r="AC141" s="239"/>
      <c r="AD141" s="239"/>
      <c r="AE141" s="239"/>
      <c r="AF141" s="239"/>
      <c r="AG141" s="239"/>
      <c r="AH141" s="239"/>
      <c r="AI141" s="239"/>
      <c r="AJ141" s="239"/>
      <c r="AK141" s="239"/>
      <c r="AL141" s="239"/>
      <c r="AM141" s="239"/>
      <c r="AN141" s="239"/>
      <c r="AO141" s="239"/>
      <c r="AP141" s="239"/>
      <c r="AQ141" s="239"/>
      <c r="AR141" s="239"/>
      <c r="AS141" s="239"/>
      <c r="AT141" s="239"/>
      <c r="AU141" s="239"/>
      <c r="AV141" s="239"/>
      <c r="AW141" s="239"/>
      <c r="AX141" s="239"/>
      <c r="AY141" s="239"/>
      <c r="AZ141" s="239"/>
      <c r="BA141" s="239"/>
      <c r="BB141" s="239"/>
      <c r="BC141" s="239"/>
      <c r="BD141" s="239"/>
      <c r="BE141" s="239"/>
      <c r="BF141" s="239"/>
      <c r="BG141" s="239"/>
      <c r="BH141" s="239"/>
      <c r="BI141" s="239"/>
      <c r="BJ141" s="239"/>
      <c r="BK141" s="239"/>
      <c r="BL141" s="239"/>
      <c r="BM141" s="239"/>
      <c r="BN141" s="239"/>
      <c r="BO141" s="239"/>
      <c r="BP141" s="239"/>
      <c r="BQ141" s="239"/>
      <c r="BR141" s="239"/>
      <c r="BS141" s="239"/>
      <c r="BT141" s="239"/>
      <c r="BU141" s="239"/>
      <c r="BV141" s="239"/>
      <c r="BW141" s="239"/>
      <c r="BX141" s="239"/>
      <c r="BY141" s="239"/>
      <c r="BZ141" s="239"/>
    </row>
    <row r="142" ht="16.8" customHeight="1" spans="1:78" x14ac:dyDescent="0.25">
      <c r="A142" s="239"/>
      <c r="B142" s="239"/>
      <c r="C142" s="239"/>
      <c r="D142" s="239"/>
      <c r="E142" s="239"/>
      <c r="F142" s="239"/>
      <c r="G142" s="239"/>
      <c r="H142" s="239"/>
      <c r="I142" s="239"/>
      <c r="J142" s="239"/>
      <c r="K142" s="239"/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  <c r="V142" s="239"/>
      <c r="W142" s="239"/>
      <c r="X142" s="239"/>
      <c r="Y142" s="239"/>
      <c r="Z142" s="239"/>
      <c r="AA142" s="239"/>
      <c r="AB142" s="239"/>
      <c r="AC142" s="239"/>
      <c r="AD142" s="239"/>
      <c r="AE142" s="239"/>
      <c r="AF142" s="239"/>
      <c r="AG142" s="239"/>
      <c r="AH142" s="239"/>
      <c r="AI142" s="239"/>
      <c r="AJ142" s="239"/>
      <c r="AK142" s="239"/>
      <c r="AL142" s="239"/>
      <c r="AM142" s="239"/>
      <c r="AN142" s="239"/>
      <c r="AO142" s="239"/>
      <c r="AP142" s="239"/>
      <c r="AQ142" s="239"/>
      <c r="AR142" s="239"/>
      <c r="AS142" s="239"/>
      <c r="AT142" s="239"/>
      <c r="AU142" s="239"/>
      <c r="AV142" s="239"/>
      <c r="AW142" s="239"/>
      <c r="AX142" s="239"/>
      <c r="AY142" s="239"/>
      <c r="AZ142" s="239"/>
      <c r="BA142" s="239"/>
      <c r="BB142" s="239"/>
      <c r="BC142" s="239"/>
      <c r="BD142" s="239"/>
      <c r="BE142" s="239"/>
      <c r="BF142" s="239"/>
      <c r="BG142" s="239"/>
      <c r="BH142" s="239"/>
      <c r="BI142" s="239"/>
      <c r="BJ142" s="239"/>
      <c r="BK142" s="239"/>
      <c r="BL142" s="239"/>
      <c r="BM142" s="239"/>
      <c r="BN142" s="239"/>
      <c r="BO142" s="239"/>
      <c r="BP142" s="239"/>
      <c r="BQ142" s="239"/>
      <c r="BR142" s="239"/>
      <c r="BS142" s="239"/>
      <c r="BT142" s="239"/>
      <c r="BU142" s="239"/>
      <c r="BV142" s="239"/>
      <c r="BW142" s="239"/>
      <c r="BX142" s="239"/>
      <c r="BY142" s="239"/>
      <c r="BZ142" s="239"/>
    </row>
    <row r="143" ht="16.8" customHeight="1" spans="1:78" x14ac:dyDescent="0.25">
      <c r="A143" s="239"/>
      <c r="B143" s="239"/>
      <c r="C143" s="239"/>
      <c r="D143" s="239"/>
      <c r="E143" s="239"/>
      <c r="F143" s="239"/>
      <c r="G143" s="239"/>
      <c r="H143" s="239"/>
      <c r="I143" s="239"/>
      <c r="J143" s="239"/>
      <c r="K143" s="239"/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  <c r="V143" s="239"/>
      <c r="W143" s="239"/>
      <c r="X143" s="239"/>
      <c r="Y143" s="239"/>
      <c r="Z143" s="239"/>
      <c r="AA143" s="239"/>
      <c r="AB143" s="239"/>
      <c r="AC143" s="239"/>
      <c r="AD143" s="239"/>
      <c r="AE143" s="239"/>
      <c r="AF143" s="239"/>
      <c r="AG143" s="239"/>
      <c r="AH143" s="239"/>
      <c r="AI143" s="239"/>
      <c r="AJ143" s="239"/>
      <c r="AK143" s="239"/>
      <c r="AL143" s="239"/>
      <c r="AM143" s="239"/>
      <c r="AN143" s="239"/>
      <c r="AO143" s="239"/>
      <c r="AP143" s="239"/>
      <c r="AQ143" s="239"/>
      <c r="AR143" s="239"/>
      <c r="AS143" s="239"/>
      <c r="AT143" s="239"/>
      <c r="AU143" s="239"/>
      <c r="AV143" s="239"/>
      <c r="AW143" s="239"/>
      <c r="AX143" s="239"/>
      <c r="AY143" s="239"/>
      <c r="AZ143" s="239"/>
      <c r="BA143" s="239"/>
      <c r="BB143" s="239"/>
      <c r="BC143" s="239"/>
      <c r="BD143" s="239"/>
      <c r="BE143" s="239"/>
      <c r="BF143" s="239"/>
      <c r="BG143" s="239"/>
      <c r="BH143" s="239"/>
      <c r="BI143" s="239"/>
      <c r="BJ143" s="239"/>
      <c r="BK143" s="239"/>
      <c r="BL143" s="239"/>
      <c r="BM143" s="239"/>
      <c r="BN143" s="239"/>
      <c r="BO143" s="239"/>
      <c r="BP143" s="239"/>
      <c r="BQ143" s="239"/>
      <c r="BR143" s="239"/>
      <c r="BS143" s="239"/>
      <c r="BT143" s="239"/>
      <c r="BU143" s="239"/>
      <c r="BV143" s="239"/>
      <c r="BW143" s="239"/>
      <c r="BX143" s="239"/>
      <c r="BY143" s="239"/>
      <c r="BZ143" s="239"/>
    </row>
    <row r="144" ht="16.8" customHeight="1" spans="1:78" x14ac:dyDescent="0.25">
      <c r="A144" s="239"/>
      <c r="B144" s="239"/>
      <c r="C144" s="239"/>
      <c r="D144" s="239"/>
      <c r="E144" s="239"/>
      <c r="F144" s="239"/>
      <c r="G144" s="239"/>
      <c r="H144" s="239"/>
      <c r="I144" s="239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  <c r="V144" s="239"/>
      <c r="W144" s="239"/>
      <c r="X144" s="239"/>
      <c r="Y144" s="239"/>
      <c r="Z144" s="239"/>
      <c r="AA144" s="239"/>
      <c r="AB144" s="239"/>
      <c r="AC144" s="239"/>
      <c r="AD144" s="239"/>
      <c r="AE144" s="239"/>
      <c r="AF144" s="239"/>
      <c r="AG144" s="239"/>
      <c r="AH144" s="239"/>
      <c r="AI144" s="239"/>
      <c r="AJ144" s="239"/>
      <c r="AK144" s="239"/>
      <c r="AL144" s="239"/>
      <c r="AM144" s="239"/>
      <c r="AN144" s="239"/>
      <c r="AO144" s="239"/>
      <c r="AP144" s="239"/>
      <c r="AQ144" s="239"/>
      <c r="AR144" s="239"/>
      <c r="AS144" s="239"/>
      <c r="AT144" s="239"/>
      <c r="AU144" s="239"/>
      <c r="AV144" s="239"/>
      <c r="AW144" s="239"/>
      <c r="AX144" s="239"/>
      <c r="AY144" s="239"/>
      <c r="AZ144" s="239"/>
      <c r="BA144" s="239"/>
      <c r="BB144" s="239"/>
      <c r="BC144" s="239"/>
      <c r="BD144" s="239"/>
      <c r="BE144" s="239"/>
      <c r="BF144" s="239"/>
      <c r="BG144" s="239"/>
      <c r="BH144" s="239"/>
      <c r="BI144" s="239"/>
      <c r="BJ144" s="239"/>
      <c r="BK144" s="239"/>
      <c r="BL144" s="239"/>
      <c r="BM144" s="239"/>
      <c r="BN144" s="239"/>
      <c r="BO144" s="239"/>
      <c r="BP144" s="239"/>
      <c r="BQ144" s="239"/>
      <c r="BR144" s="239"/>
      <c r="BS144" s="239"/>
      <c r="BT144" s="239"/>
      <c r="BU144" s="239"/>
      <c r="BV144" s="239"/>
      <c r="BW144" s="239"/>
      <c r="BX144" s="239"/>
      <c r="BY144" s="239"/>
      <c r="BZ144" s="239"/>
    </row>
    <row r="145" ht="16.8" customHeight="1" spans="1:78" x14ac:dyDescent="0.25">
      <c r="A145" s="239"/>
      <c r="B145" s="239"/>
      <c r="C145" s="239"/>
      <c r="D145" s="239"/>
      <c r="E145" s="239"/>
      <c r="F145" s="239"/>
      <c r="G145" s="239"/>
      <c r="H145" s="239"/>
      <c r="I145" s="239"/>
      <c r="J145" s="239"/>
      <c r="K145" s="239"/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  <c r="V145" s="239"/>
      <c r="W145" s="239"/>
      <c r="X145" s="239"/>
      <c r="Y145" s="239"/>
      <c r="Z145" s="239"/>
      <c r="AA145" s="239"/>
      <c r="AB145" s="239"/>
      <c r="AC145" s="239"/>
      <c r="AD145" s="239"/>
      <c r="AE145" s="239"/>
      <c r="AF145" s="239"/>
      <c r="AG145" s="239"/>
      <c r="AH145" s="239"/>
      <c r="AI145" s="239"/>
      <c r="AJ145" s="239"/>
      <c r="AK145" s="239"/>
      <c r="AL145" s="239"/>
      <c r="AM145" s="239"/>
      <c r="AN145" s="239"/>
      <c r="AO145" s="239"/>
      <c r="AP145" s="239"/>
      <c r="AQ145" s="239"/>
      <c r="AR145" s="239"/>
      <c r="AS145" s="239"/>
      <c r="AT145" s="239"/>
      <c r="AU145" s="239"/>
      <c r="AV145" s="239"/>
      <c r="AW145" s="239"/>
      <c r="AX145" s="239"/>
      <c r="AY145" s="239"/>
      <c r="AZ145" s="239"/>
      <c r="BA145" s="239"/>
      <c r="BB145" s="239"/>
      <c r="BC145" s="239"/>
      <c r="BD145" s="239"/>
      <c r="BE145" s="239"/>
      <c r="BF145" s="239"/>
      <c r="BG145" s="239"/>
      <c r="BH145" s="239"/>
      <c r="BI145" s="239"/>
      <c r="BJ145" s="239"/>
      <c r="BK145" s="239"/>
      <c r="BL145" s="239"/>
      <c r="BM145" s="239"/>
      <c r="BN145" s="239"/>
      <c r="BO145" s="239"/>
      <c r="BP145" s="239"/>
      <c r="BQ145" s="239"/>
      <c r="BR145" s="239"/>
      <c r="BS145" s="239"/>
      <c r="BT145" s="239"/>
      <c r="BU145" s="239"/>
      <c r="BV145" s="239"/>
      <c r="BW145" s="239"/>
      <c r="BX145" s="239"/>
      <c r="BY145" s="239"/>
      <c r="BZ145" s="239"/>
    </row>
    <row r="146" ht="16.8" customHeight="1" spans="1:78" x14ac:dyDescent="0.25">
      <c r="A146" s="239"/>
      <c r="B146" s="239"/>
      <c r="C146" s="239"/>
      <c r="D146" s="239"/>
      <c r="E146" s="239"/>
      <c r="F146" s="239"/>
      <c r="G146" s="239"/>
      <c r="H146" s="239"/>
      <c r="I146" s="239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  <c r="V146" s="239"/>
      <c r="W146" s="239"/>
      <c r="X146" s="239"/>
      <c r="Y146" s="239"/>
      <c r="Z146" s="239"/>
      <c r="AA146" s="239"/>
      <c r="AB146" s="239"/>
      <c r="AC146" s="239"/>
      <c r="AD146" s="239"/>
      <c r="AE146" s="239"/>
      <c r="AF146" s="239"/>
      <c r="AG146" s="239"/>
      <c r="AH146" s="239"/>
      <c r="AI146" s="239"/>
      <c r="AJ146" s="239"/>
      <c r="AK146" s="239"/>
      <c r="AL146" s="239"/>
      <c r="AM146" s="239"/>
      <c r="AN146" s="239"/>
      <c r="AO146" s="239"/>
      <c r="AP146" s="239"/>
      <c r="AQ146" s="239"/>
      <c r="AR146" s="239"/>
      <c r="AS146" s="239"/>
      <c r="AT146" s="239"/>
      <c r="AU146" s="239"/>
      <c r="AV146" s="239"/>
      <c r="AW146" s="239"/>
      <c r="AX146" s="239"/>
      <c r="AY146" s="239"/>
      <c r="AZ146" s="239"/>
      <c r="BA146" s="239"/>
      <c r="BB146" s="239"/>
      <c r="BC146" s="239"/>
      <c r="BD146" s="239"/>
      <c r="BE146" s="239"/>
      <c r="BF146" s="239"/>
      <c r="BG146" s="239"/>
      <c r="BH146" s="239"/>
      <c r="BI146" s="239"/>
      <c r="BJ146" s="239"/>
      <c r="BK146" s="239"/>
      <c r="BL146" s="239"/>
      <c r="BM146" s="239"/>
      <c r="BN146" s="239"/>
      <c r="BO146" s="239"/>
      <c r="BP146" s="239"/>
      <c r="BQ146" s="239"/>
      <c r="BR146" s="239"/>
      <c r="BS146" s="239"/>
      <c r="BT146" s="239"/>
      <c r="BU146" s="239"/>
      <c r="BV146" s="239"/>
      <c r="BW146" s="239"/>
      <c r="BX146" s="239"/>
      <c r="BY146" s="239"/>
      <c r="BZ146" s="239"/>
    </row>
    <row r="147" ht="16.8" customHeight="1" spans="1:78" x14ac:dyDescent="0.25">
      <c r="A147" s="239"/>
      <c r="B147" s="239"/>
      <c r="C147" s="239"/>
      <c r="D147" s="239"/>
      <c r="E147" s="239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  <c r="V147" s="239"/>
      <c r="W147" s="239"/>
      <c r="X147" s="239"/>
      <c r="Y147" s="239"/>
      <c r="Z147" s="239"/>
      <c r="AA147" s="239"/>
      <c r="AB147" s="239"/>
      <c r="AC147" s="239"/>
      <c r="AD147" s="239"/>
      <c r="AE147" s="239"/>
      <c r="AF147" s="239"/>
      <c r="AG147" s="239"/>
      <c r="AH147" s="239"/>
      <c r="AI147" s="239"/>
      <c r="AJ147" s="239"/>
      <c r="AK147" s="239"/>
      <c r="AL147" s="239"/>
      <c r="AM147" s="239"/>
      <c r="AN147" s="239"/>
      <c r="AO147" s="239"/>
      <c r="AP147" s="239"/>
      <c r="AQ147" s="239"/>
      <c r="AR147" s="239"/>
      <c r="AS147" s="239"/>
      <c r="AT147" s="239"/>
      <c r="AU147" s="239"/>
      <c r="AV147" s="239"/>
      <c r="AW147" s="239"/>
      <c r="AX147" s="239"/>
      <c r="AY147" s="239"/>
      <c r="AZ147" s="239"/>
      <c r="BA147" s="239"/>
      <c r="BB147" s="239"/>
      <c r="BC147" s="239"/>
      <c r="BD147" s="239"/>
      <c r="BE147" s="239"/>
      <c r="BF147" s="239"/>
      <c r="BG147" s="239"/>
      <c r="BH147" s="239"/>
      <c r="BI147" s="239"/>
      <c r="BJ147" s="239"/>
      <c r="BK147" s="239"/>
      <c r="BL147" s="239"/>
      <c r="BM147" s="239"/>
      <c r="BN147" s="239"/>
      <c r="BO147" s="239"/>
      <c r="BP147" s="239"/>
      <c r="BQ147" s="239"/>
      <c r="BR147" s="239"/>
      <c r="BS147" s="239"/>
      <c r="BT147" s="239"/>
      <c r="BU147" s="239"/>
      <c r="BV147" s="239"/>
      <c r="BW147" s="239"/>
      <c r="BX147" s="239"/>
      <c r="BY147" s="239"/>
      <c r="BZ147" s="239"/>
    </row>
    <row r="148" ht="16.8" customHeight="1" spans="1:78" x14ac:dyDescent="0.25">
      <c r="A148" s="239"/>
      <c r="B148" s="239"/>
      <c r="C148" s="239"/>
      <c r="D148" s="239"/>
      <c r="E148" s="239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  <c r="V148" s="239"/>
      <c r="W148" s="239"/>
      <c r="X148" s="239"/>
      <c r="Y148" s="239"/>
      <c r="Z148" s="239"/>
      <c r="AA148" s="239"/>
      <c r="AB148" s="239"/>
      <c r="AC148" s="239"/>
      <c r="AD148" s="239"/>
      <c r="AE148" s="239"/>
      <c r="AF148" s="239"/>
      <c r="AG148" s="239"/>
      <c r="AH148" s="239"/>
      <c r="AI148" s="239"/>
      <c r="AJ148" s="239"/>
      <c r="AK148" s="239"/>
      <c r="AL148" s="239"/>
      <c r="AM148" s="239"/>
      <c r="AN148" s="239"/>
      <c r="AO148" s="239"/>
      <c r="AP148" s="239"/>
      <c r="AQ148" s="239"/>
      <c r="AR148" s="239"/>
      <c r="AS148" s="239"/>
      <c r="AT148" s="239"/>
      <c r="AU148" s="239"/>
      <c r="AV148" s="239"/>
      <c r="AW148" s="239"/>
      <c r="AX148" s="239"/>
      <c r="AY148" s="239"/>
      <c r="AZ148" s="239"/>
      <c r="BA148" s="239"/>
      <c r="BB148" s="239"/>
      <c r="BC148" s="239"/>
      <c r="BD148" s="239"/>
      <c r="BE148" s="239"/>
      <c r="BF148" s="239"/>
      <c r="BG148" s="239"/>
      <c r="BH148" s="239"/>
      <c r="BI148" s="239"/>
      <c r="BJ148" s="239"/>
      <c r="BK148" s="239"/>
      <c r="BL148" s="239"/>
      <c r="BM148" s="239"/>
      <c r="BN148" s="239"/>
      <c r="BO148" s="239"/>
      <c r="BP148" s="239"/>
      <c r="BQ148" s="239"/>
      <c r="BR148" s="239"/>
      <c r="BS148" s="239"/>
      <c r="BT148" s="239"/>
      <c r="BU148" s="239"/>
      <c r="BV148" s="239"/>
      <c r="BW148" s="239"/>
      <c r="BX148" s="239"/>
      <c r="BY148" s="239"/>
      <c r="BZ148" s="239"/>
    </row>
    <row r="149" ht="16.8" customHeight="1" spans="1:78" x14ac:dyDescent="0.25">
      <c r="A149" s="239"/>
      <c r="B149" s="239"/>
      <c r="C149" s="239"/>
      <c r="D149" s="239"/>
      <c r="E149" s="239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  <c r="V149" s="239"/>
      <c r="W149" s="239"/>
      <c r="X149" s="239"/>
      <c r="Y149" s="239"/>
      <c r="Z149" s="239"/>
      <c r="AA149" s="239"/>
      <c r="AB149" s="239"/>
      <c r="AC149" s="239"/>
      <c r="AD149" s="239"/>
      <c r="AE149" s="239"/>
      <c r="AF149" s="239"/>
      <c r="AG149" s="239"/>
      <c r="AH149" s="239"/>
      <c r="AI149" s="239"/>
      <c r="AJ149" s="239"/>
      <c r="AK149" s="239"/>
      <c r="AL149" s="239"/>
      <c r="AM149" s="239"/>
      <c r="AN149" s="239"/>
      <c r="AO149" s="239"/>
      <c r="AP149" s="239"/>
      <c r="AQ149" s="239"/>
      <c r="AR149" s="239"/>
      <c r="AS149" s="239"/>
      <c r="AT149" s="239"/>
      <c r="AU149" s="239"/>
      <c r="AV149" s="239"/>
      <c r="AW149" s="239"/>
      <c r="AX149" s="239"/>
      <c r="AY149" s="239"/>
      <c r="AZ149" s="239"/>
      <c r="BA149" s="239"/>
      <c r="BB149" s="239"/>
      <c r="BC149" s="239"/>
      <c r="BD149" s="239"/>
      <c r="BE149" s="239"/>
      <c r="BF149" s="239"/>
      <c r="BG149" s="239"/>
      <c r="BH149" s="239"/>
      <c r="BI149" s="239"/>
      <c r="BJ149" s="239"/>
      <c r="BK149" s="239"/>
      <c r="BL149" s="239"/>
      <c r="BM149" s="239"/>
      <c r="BN149" s="239"/>
      <c r="BO149" s="239"/>
      <c r="BP149" s="239"/>
      <c r="BQ149" s="239"/>
      <c r="BR149" s="239"/>
      <c r="BS149" s="239"/>
      <c r="BT149" s="239"/>
      <c r="BU149" s="239"/>
      <c r="BV149" s="239"/>
      <c r="BW149" s="239"/>
      <c r="BX149" s="239"/>
      <c r="BY149" s="239"/>
      <c r="BZ149" s="239"/>
    </row>
    <row r="150" ht="16.8" customHeight="1" spans="1:78" x14ac:dyDescent="0.25">
      <c r="A150" s="239"/>
      <c r="B150" s="239"/>
      <c r="C150" s="239"/>
      <c r="D150" s="239"/>
      <c r="E150" s="239"/>
      <c r="F150" s="239"/>
      <c r="G150" s="239"/>
      <c r="H150" s="239"/>
      <c r="I150" s="239"/>
      <c r="J150" s="239"/>
      <c r="K150" s="239"/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  <c r="V150" s="239"/>
      <c r="W150" s="239"/>
      <c r="X150" s="239"/>
      <c r="Y150" s="239"/>
      <c r="Z150" s="239"/>
      <c r="AA150" s="239"/>
      <c r="AB150" s="239"/>
      <c r="AC150" s="239"/>
      <c r="AD150" s="239"/>
      <c r="AE150" s="239"/>
      <c r="AF150" s="239"/>
      <c r="AG150" s="239"/>
      <c r="AH150" s="239"/>
      <c r="AI150" s="239"/>
      <c r="AJ150" s="239"/>
      <c r="AK150" s="239"/>
      <c r="AL150" s="239"/>
      <c r="AM150" s="239"/>
      <c r="AN150" s="239"/>
      <c r="AO150" s="239"/>
      <c r="AP150" s="239"/>
      <c r="AQ150" s="239"/>
      <c r="AR150" s="239"/>
      <c r="AS150" s="239"/>
      <c r="AT150" s="239"/>
      <c r="AU150" s="239"/>
      <c r="AV150" s="239"/>
      <c r="AW150" s="239"/>
      <c r="AX150" s="239"/>
      <c r="AY150" s="239"/>
      <c r="AZ150" s="239"/>
      <c r="BA150" s="239"/>
      <c r="BB150" s="239"/>
      <c r="BC150" s="239"/>
      <c r="BD150" s="239"/>
      <c r="BE150" s="239"/>
      <c r="BF150" s="239"/>
      <c r="BG150" s="239"/>
      <c r="BH150" s="239"/>
      <c r="BI150" s="239"/>
      <c r="BJ150" s="239"/>
      <c r="BK150" s="239"/>
      <c r="BL150" s="239"/>
      <c r="BM150" s="239"/>
      <c r="BN150" s="239"/>
      <c r="BO150" s="239"/>
      <c r="BP150" s="239"/>
      <c r="BQ150" s="239"/>
      <c r="BR150" s="239"/>
      <c r="BS150" s="239"/>
      <c r="BT150" s="239"/>
      <c r="BU150" s="239"/>
      <c r="BV150" s="239"/>
      <c r="BW150" s="239"/>
      <c r="BX150" s="239"/>
      <c r="BY150" s="239"/>
      <c r="BZ150" s="239"/>
    </row>
    <row r="151" ht="16.8" customHeight="1" spans="1:78" x14ac:dyDescent="0.25">
      <c r="A151" s="239"/>
      <c r="B151" s="239"/>
      <c r="C151" s="239"/>
      <c r="D151" s="239"/>
      <c r="E151" s="239"/>
      <c r="F151" s="239"/>
      <c r="G151" s="239"/>
      <c r="H151" s="239"/>
      <c r="I151" s="239"/>
      <c r="J151" s="239"/>
      <c r="K151" s="239"/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  <c r="V151" s="239"/>
      <c r="W151" s="239"/>
      <c r="X151" s="239"/>
      <c r="Y151" s="239"/>
      <c r="Z151" s="239"/>
      <c r="AA151" s="239"/>
      <c r="AB151" s="239"/>
      <c r="AC151" s="239"/>
      <c r="AD151" s="239"/>
      <c r="AE151" s="239"/>
      <c r="AF151" s="239"/>
      <c r="AG151" s="239"/>
      <c r="AH151" s="239"/>
      <c r="AI151" s="239"/>
      <c r="AJ151" s="239"/>
      <c r="AK151" s="239"/>
      <c r="AL151" s="239"/>
      <c r="AM151" s="239"/>
      <c r="AN151" s="239"/>
      <c r="AO151" s="239"/>
      <c r="AP151" s="239"/>
      <c r="AQ151" s="239"/>
      <c r="AR151" s="239"/>
      <c r="AS151" s="239"/>
      <c r="AT151" s="239"/>
      <c r="AU151" s="239"/>
      <c r="AV151" s="239"/>
      <c r="AW151" s="239"/>
      <c r="AX151" s="239"/>
      <c r="AY151" s="239"/>
      <c r="AZ151" s="239"/>
      <c r="BA151" s="239"/>
      <c r="BB151" s="239"/>
      <c r="BC151" s="239"/>
      <c r="BD151" s="239"/>
      <c r="BE151" s="239"/>
      <c r="BF151" s="239"/>
      <c r="BG151" s="239"/>
      <c r="BH151" s="239"/>
      <c r="BI151" s="239"/>
      <c r="BJ151" s="239"/>
      <c r="BK151" s="239"/>
      <c r="BL151" s="239"/>
      <c r="BM151" s="239"/>
      <c r="BN151" s="239"/>
      <c r="BO151" s="239"/>
      <c r="BP151" s="239"/>
      <c r="BQ151" s="239"/>
      <c r="BR151" s="239"/>
      <c r="BS151" s="239"/>
      <c r="BT151" s="239"/>
      <c r="BU151" s="239"/>
      <c r="BV151" s="239"/>
      <c r="BW151" s="239"/>
      <c r="BX151" s="239"/>
      <c r="BY151" s="239"/>
      <c r="BZ151" s="239"/>
    </row>
    <row r="152" ht="16.8" customHeight="1" spans="1:78" x14ac:dyDescent="0.25">
      <c r="A152" s="239"/>
      <c r="B152" s="239"/>
      <c r="C152" s="239"/>
      <c r="D152" s="239"/>
      <c r="E152" s="239"/>
      <c r="F152" s="239"/>
      <c r="G152" s="239"/>
      <c r="H152" s="239"/>
      <c r="I152" s="239"/>
      <c r="J152" s="239"/>
      <c r="K152" s="239"/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  <c r="V152" s="239"/>
      <c r="W152" s="239"/>
      <c r="X152" s="239"/>
      <c r="Y152" s="239"/>
      <c r="Z152" s="239"/>
      <c r="AA152" s="239"/>
      <c r="AB152" s="239"/>
      <c r="AC152" s="239"/>
      <c r="AD152" s="239"/>
      <c r="AE152" s="239"/>
      <c r="AF152" s="239"/>
      <c r="AG152" s="239"/>
      <c r="AH152" s="239"/>
      <c r="AI152" s="239"/>
      <c r="AJ152" s="239"/>
      <c r="AK152" s="239"/>
      <c r="AL152" s="239"/>
      <c r="AM152" s="239"/>
      <c r="AN152" s="239"/>
      <c r="AO152" s="239"/>
      <c r="AP152" s="239"/>
      <c r="AQ152" s="239"/>
      <c r="AR152" s="239"/>
      <c r="AS152" s="239"/>
      <c r="AT152" s="239"/>
      <c r="AU152" s="239"/>
      <c r="AV152" s="239"/>
      <c r="AW152" s="239"/>
      <c r="AX152" s="239"/>
      <c r="AY152" s="239"/>
      <c r="AZ152" s="239"/>
      <c r="BA152" s="239"/>
      <c r="BB152" s="239"/>
      <c r="BC152" s="239"/>
      <c r="BD152" s="239"/>
      <c r="BE152" s="239"/>
      <c r="BF152" s="239"/>
      <c r="BG152" s="239"/>
      <c r="BH152" s="239"/>
      <c r="BI152" s="239"/>
      <c r="BJ152" s="239"/>
      <c r="BK152" s="239"/>
      <c r="BL152" s="239"/>
      <c r="BM152" s="239"/>
      <c r="BN152" s="239"/>
      <c r="BO152" s="239"/>
      <c r="BP152" s="239"/>
      <c r="BQ152" s="239"/>
      <c r="BR152" s="239"/>
      <c r="BS152" s="239"/>
      <c r="BT152" s="239"/>
      <c r="BU152" s="239"/>
      <c r="BV152" s="239"/>
      <c r="BW152" s="239"/>
      <c r="BX152" s="239"/>
      <c r="BY152" s="239"/>
      <c r="BZ152" s="239"/>
    </row>
    <row r="153" ht="16.8" customHeight="1" spans="1:78" x14ac:dyDescent="0.25">
      <c r="A153" s="239"/>
      <c r="B153" s="239"/>
      <c r="C153" s="239"/>
      <c r="D153" s="239"/>
      <c r="E153" s="239"/>
      <c r="F153" s="239"/>
      <c r="G153" s="239"/>
      <c r="H153" s="239"/>
      <c r="I153" s="239"/>
      <c r="J153" s="239"/>
      <c r="K153" s="239"/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  <c r="V153" s="239"/>
      <c r="W153" s="239"/>
      <c r="X153" s="239"/>
      <c r="Y153" s="239"/>
      <c r="Z153" s="239"/>
      <c r="AA153" s="239"/>
      <c r="AB153" s="239"/>
      <c r="AC153" s="239"/>
      <c r="AD153" s="239"/>
      <c r="AE153" s="239"/>
      <c r="AF153" s="239"/>
      <c r="AG153" s="239"/>
      <c r="AH153" s="239"/>
      <c r="AI153" s="239"/>
      <c r="AJ153" s="239"/>
      <c r="AK153" s="239"/>
      <c r="AL153" s="239"/>
      <c r="AM153" s="239"/>
      <c r="AN153" s="239"/>
      <c r="AO153" s="239"/>
      <c r="AP153" s="239"/>
      <c r="AQ153" s="239"/>
      <c r="AR153" s="239"/>
      <c r="AS153" s="239"/>
      <c r="AT153" s="239"/>
      <c r="AU153" s="239"/>
      <c r="AV153" s="239"/>
      <c r="AW153" s="239"/>
      <c r="AX153" s="239"/>
      <c r="AY153" s="239"/>
      <c r="AZ153" s="239"/>
      <c r="BA153" s="239"/>
      <c r="BB153" s="239"/>
      <c r="BC153" s="239"/>
      <c r="BD153" s="239"/>
      <c r="BE153" s="239"/>
      <c r="BF153" s="239"/>
      <c r="BG153" s="239"/>
      <c r="BH153" s="239"/>
      <c r="BI153" s="239"/>
      <c r="BJ153" s="239"/>
      <c r="BK153" s="239"/>
      <c r="BL153" s="239"/>
      <c r="BM153" s="239"/>
      <c r="BN153" s="239"/>
      <c r="BO153" s="239"/>
      <c r="BP153" s="239"/>
      <c r="BQ153" s="239"/>
      <c r="BR153" s="239"/>
      <c r="BS153" s="239"/>
      <c r="BT153" s="239"/>
      <c r="BU153" s="239"/>
      <c r="BV153" s="239"/>
      <c r="BW153" s="239"/>
      <c r="BX153" s="239"/>
      <c r="BY153" s="239"/>
      <c r="BZ153" s="239"/>
    </row>
    <row r="154" ht="16.8" customHeight="1" spans="1:78" x14ac:dyDescent="0.25">
      <c r="A154" s="239"/>
      <c r="B154" s="239"/>
      <c r="C154" s="239"/>
      <c r="D154" s="239"/>
      <c r="E154" s="239"/>
      <c r="F154" s="239"/>
      <c r="G154" s="239"/>
      <c r="H154" s="239"/>
      <c r="I154" s="239"/>
      <c r="J154" s="239"/>
      <c r="K154" s="239"/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  <c r="V154" s="239"/>
      <c r="W154" s="239"/>
      <c r="X154" s="239"/>
      <c r="Y154" s="239"/>
      <c r="Z154" s="239"/>
      <c r="AA154" s="239"/>
      <c r="AB154" s="239"/>
      <c r="AC154" s="239"/>
      <c r="AD154" s="239"/>
      <c r="AE154" s="239"/>
      <c r="AF154" s="239"/>
      <c r="AG154" s="239"/>
      <c r="AH154" s="239"/>
      <c r="AI154" s="239"/>
      <c r="AJ154" s="239"/>
      <c r="AK154" s="239"/>
      <c r="AL154" s="239"/>
      <c r="AM154" s="239"/>
      <c r="AN154" s="239"/>
      <c r="AO154" s="239"/>
      <c r="AP154" s="239"/>
      <c r="AQ154" s="239"/>
      <c r="AR154" s="239"/>
      <c r="AS154" s="239"/>
      <c r="AT154" s="239"/>
      <c r="AU154" s="239"/>
      <c r="AV154" s="239"/>
      <c r="AW154" s="239"/>
      <c r="AX154" s="239"/>
      <c r="AY154" s="239"/>
      <c r="AZ154" s="239"/>
      <c r="BA154" s="239"/>
      <c r="BB154" s="239"/>
      <c r="BC154" s="239"/>
      <c r="BD154" s="239"/>
      <c r="BE154" s="239"/>
      <c r="BF154" s="239"/>
      <c r="BG154" s="239"/>
      <c r="BH154" s="239"/>
      <c r="BI154" s="239"/>
      <c r="BJ154" s="239"/>
      <c r="BK154" s="239"/>
      <c r="BL154" s="239"/>
      <c r="BM154" s="239"/>
      <c r="BN154" s="239"/>
      <c r="BO154" s="239"/>
      <c r="BP154" s="239"/>
      <c r="BQ154" s="239"/>
      <c r="BR154" s="239"/>
      <c r="BS154" s="239"/>
      <c r="BT154" s="239"/>
      <c r="BU154" s="239"/>
      <c r="BV154" s="239"/>
      <c r="BW154" s="239"/>
      <c r="BX154" s="239"/>
      <c r="BY154" s="239"/>
      <c r="BZ154" s="239"/>
    </row>
    <row r="155" ht="16.8" customHeight="1" spans="1:78" x14ac:dyDescent="0.25">
      <c r="A155" s="239"/>
      <c r="B155" s="239"/>
      <c r="C155" s="239"/>
      <c r="D155" s="239"/>
      <c r="E155" s="239"/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  <c r="V155" s="239"/>
      <c r="W155" s="239"/>
      <c r="X155" s="239"/>
      <c r="Y155" s="239"/>
      <c r="Z155" s="239"/>
      <c r="AA155" s="239"/>
      <c r="AB155" s="239"/>
      <c r="AC155" s="239"/>
      <c r="AD155" s="239"/>
      <c r="AE155" s="239"/>
      <c r="AF155" s="239"/>
      <c r="AG155" s="239"/>
      <c r="AH155" s="239"/>
      <c r="AI155" s="239"/>
      <c r="AJ155" s="239"/>
      <c r="AK155" s="239"/>
      <c r="AL155" s="239"/>
      <c r="AM155" s="239"/>
      <c r="AN155" s="239"/>
      <c r="AO155" s="239"/>
      <c r="AP155" s="239"/>
      <c r="AQ155" s="239"/>
      <c r="AR155" s="239"/>
      <c r="AS155" s="239"/>
      <c r="AT155" s="239"/>
      <c r="AU155" s="239"/>
      <c r="AV155" s="239"/>
      <c r="AW155" s="239"/>
      <c r="AX155" s="239"/>
      <c r="AY155" s="239"/>
      <c r="AZ155" s="239"/>
      <c r="BA155" s="239"/>
      <c r="BB155" s="239"/>
      <c r="BC155" s="239"/>
      <c r="BD155" s="239"/>
      <c r="BE155" s="239"/>
      <c r="BF155" s="239"/>
      <c r="BG155" s="239"/>
      <c r="BH155" s="239"/>
      <c r="BI155" s="239"/>
      <c r="BJ155" s="239"/>
      <c r="BK155" s="239"/>
      <c r="BL155" s="239"/>
      <c r="BM155" s="239"/>
      <c r="BN155" s="239"/>
      <c r="BO155" s="239"/>
      <c r="BP155" s="239"/>
      <c r="BQ155" s="239"/>
      <c r="BR155" s="239"/>
      <c r="BS155" s="239"/>
      <c r="BT155" s="239"/>
      <c r="BU155" s="239"/>
      <c r="BV155" s="239"/>
      <c r="BW155" s="239"/>
      <c r="BX155" s="239"/>
      <c r="BY155" s="239"/>
      <c r="BZ155" s="239"/>
    </row>
    <row r="156" ht="16.8" customHeight="1" spans="1:78" x14ac:dyDescent="0.25">
      <c r="A156" s="239"/>
      <c r="B156" s="239"/>
      <c r="C156" s="239"/>
      <c r="D156" s="239"/>
      <c r="E156" s="239"/>
      <c r="F156" s="239"/>
      <c r="G156" s="239"/>
      <c r="H156" s="239"/>
      <c r="I156" s="239"/>
      <c r="J156" s="239"/>
      <c r="K156" s="239"/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  <c r="V156" s="239"/>
      <c r="W156" s="239"/>
      <c r="X156" s="239"/>
      <c r="Y156" s="239"/>
      <c r="Z156" s="239"/>
      <c r="AA156" s="239"/>
      <c r="AB156" s="239"/>
      <c r="AC156" s="239"/>
      <c r="AD156" s="239"/>
      <c r="AE156" s="239"/>
      <c r="AF156" s="239"/>
      <c r="AG156" s="239"/>
      <c r="AH156" s="239"/>
      <c r="AI156" s="239"/>
      <c r="AJ156" s="239"/>
      <c r="AK156" s="239"/>
      <c r="AL156" s="239"/>
      <c r="AM156" s="239"/>
      <c r="AN156" s="239"/>
      <c r="AO156" s="239"/>
      <c r="AP156" s="239"/>
      <c r="AQ156" s="239"/>
      <c r="AR156" s="239"/>
      <c r="AS156" s="239"/>
      <c r="AT156" s="239"/>
      <c r="AU156" s="239"/>
      <c r="AV156" s="239"/>
      <c r="AW156" s="239"/>
      <c r="AX156" s="239"/>
      <c r="AY156" s="239"/>
      <c r="AZ156" s="239"/>
      <c r="BA156" s="239"/>
      <c r="BB156" s="239"/>
      <c r="BC156" s="239"/>
      <c r="BD156" s="239"/>
      <c r="BE156" s="239"/>
      <c r="BF156" s="239"/>
      <c r="BG156" s="239"/>
      <c r="BH156" s="239"/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39"/>
      <c r="BS156" s="239"/>
      <c r="BT156" s="239"/>
      <c r="BU156" s="239"/>
      <c r="BV156" s="239"/>
      <c r="BW156" s="239"/>
      <c r="BX156" s="239"/>
      <c r="BY156" s="239"/>
      <c r="BZ156" s="239"/>
    </row>
    <row r="157" ht="16.8" customHeight="1" spans="1:78" x14ac:dyDescent="0.25">
      <c r="A157" s="239"/>
      <c r="B157" s="239"/>
      <c r="C157" s="239"/>
      <c r="D157" s="239"/>
      <c r="E157" s="239"/>
      <c r="F157" s="239"/>
      <c r="G157" s="239"/>
      <c r="H157" s="239"/>
      <c r="I157" s="239"/>
      <c r="J157" s="239"/>
      <c r="K157" s="239"/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  <c r="V157" s="239"/>
      <c r="W157" s="239"/>
      <c r="X157" s="239"/>
      <c r="Y157" s="239"/>
      <c r="Z157" s="239"/>
      <c r="AA157" s="239"/>
      <c r="AB157" s="239"/>
      <c r="AC157" s="239"/>
      <c r="AD157" s="239"/>
      <c r="AE157" s="239"/>
      <c r="AF157" s="239"/>
      <c r="AG157" s="239"/>
      <c r="AH157" s="239"/>
      <c r="AI157" s="239"/>
      <c r="AJ157" s="239"/>
      <c r="AK157" s="239"/>
      <c r="AL157" s="239"/>
      <c r="AM157" s="239"/>
      <c r="AN157" s="239"/>
      <c r="AO157" s="239"/>
      <c r="AP157" s="239"/>
      <c r="AQ157" s="239"/>
      <c r="AR157" s="239"/>
      <c r="AS157" s="239"/>
      <c r="AT157" s="239"/>
      <c r="AU157" s="239"/>
      <c r="AV157" s="239"/>
      <c r="AW157" s="239"/>
      <c r="AX157" s="239"/>
      <c r="AY157" s="239"/>
      <c r="AZ157" s="239"/>
      <c r="BA157" s="239"/>
      <c r="BB157" s="239"/>
      <c r="BC157" s="239"/>
      <c r="BD157" s="239"/>
      <c r="BE157" s="239"/>
      <c r="BF157" s="239"/>
      <c r="BG157" s="239"/>
      <c r="BH157" s="239"/>
      <c r="BI157" s="239"/>
      <c r="BJ157" s="239"/>
      <c r="BK157" s="239"/>
      <c r="BL157" s="239"/>
      <c r="BM157" s="239"/>
      <c r="BN157" s="239"/>
      <c r="BO157" s="239"/>
      <c r="BP157" s="239"/>
      <c r="BQ157" s="239"/>
      <c r="BR157" s="239"/>
      <c r="BS157" s="239"/>
      <c r="BT157" s="239"/>
      <c r="BU157" s="239"/>
      <c r="BV157" s="239"/>
      <c r="BW157" s="239"/>
      <c r="BX157" s="239"/>
      <c r="BY157" s="239"/>
      <c r="BZ157" s="239"/>
    </row>
    <row r="158" ht="16.8" customHeight="1" spans="1:78" x14ac:dyDescent="0.25">
      <c r="A158" s="239"/>
      <c r="B158" s="239"/>
      <c r="C158" s="239"/>
      <c r="D158" s="239"/>
      <c r="E158" s="239"/>
      <c r="F158" s="239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239"/>
      <c r="AN158" s="239"/>
      <c r="AO158" s="239"/>
      <c r="AP158" s="239"/>
      <c r="AQ158" s="239"/>
      <c r="AR158" s="239"/>
      <c r="AS158" s="239"/>
      <c r="AT158" s="239"/>
      <c r="AU158" s="239"/>
      <c r="AV158" s="239"/>
      <c r="AW158" s="239"/>
      <c r="AX158" s="239"/>
      <c r="AY158" s="239"/>
      <c r="AZ158" s="239"/>
      <c r="BA158" s="239"/>
      <c r="BB158" s="239"/>
      <c r="BC158" s="239"/>
      <c r="BD158" s="239"/>
      <c r="BE158" s="239"/>
      <c r="BF158" s="239"/>
      <c r="BG158" s="239"/>
      <c r="BH158" s="239"/>
      <c r="BI158" s="239"/>
      <c r="BJ158" s="239"/>
      <c r="BK158" s="239"/>
      <c r="BL158" s="239"/>
      <c r="BM158" s="239"/>
      <c r="BN158" s="239"/>
      <c r="BO158" s="239"/>
      <c r="BP158" s="239"/>
      <c r="BQ158" s="239"/>
      <c r="BR158" s="239"/>
      <c r="BS158" s="239"/>
      <c r="BT158" s="239"/>
      <c r="BU158" s="239"/>
      <c r="BV158" s="239"/>
      <c r="BW158" s="239"/>
      <c r="BX158" s="239"/>
      <c r="BY158" s="239"/>
      <c r="BZ158" s="239"/>
    </row>
    <row r="159" ht="16.8" customHeight="1" spans="1:78" x14ac:dyDescent="0.25">
      <c r="A159" s="239"/>
      <c r="B159" s="239"/>
      <c r="C159" s="239"/>
      <c r="D159" s="239"/>
      <c r="E159" s="239"/>
      <c r="F159" s="239"/>
      <c r="G159" s="239"/>
      <c r="H159" s="239"/>
      <c r="I159" s="239"/>
      <c r="J159" s="239"/>
      <c r="K159" s="239"/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  <c r="V159" s="239"/>
      <c r="W159" s="239"/>
      <c r="X159" s="239"/>
      <c r="Y159" s="239"/>
      <c r="Z159" s="239"/>
      <c r="AA159" s="239"/>
      <c r="AB159" s="239"/>
      <c r="AC159" s="239"/>
      <c r="AD159" s="239"/>
      <c r="AE159" s="239"/>
      <c r="AF159" s="239"/>
      <c r="AG159" s="239"/>
      <c r="AH159" s="239"/>
      <c r="AI159" s="239"/>
      <c r="AJ159" s="239"/>
      <c r="AK159" s="239"/>
      <c r="AL159" s="239"/>
      <c r="AM159" s="239"/>
      <c r="AN159" s="239"/>
      <c r="AO159" s="239"/>
      <c r="AP159" s="239"/>
      <c r="AQ159" s="239"/>
      <c r="AR159" s="239"/>
      <c r="AS159" s="239"/>
      <c r="AT159" s="239"/>
      <c r="AU159" s="239"/>
      <c r="AV159" s="239"/>
      <c r="AW159" s="239"/>
      <c r="AX159" s="239"/>
      <c r="AY159" s="239"/>
      <c r="AZ159" s="239"/>
      <c r="BA159" s="239"/>
      <c r="BB159" s="239"/>
      <c r="BC159" s="239"/>
      <c r="BD159" s="239"/>
      <c r="BE159" s="239"/>
      <c r="BF159" s="239"/>
      <c r="BG159" s="239"/>
      <c r="BH159" s="239"/>
      <c r="BI159" s="239"/>
      <c r="BJ159" s="239"/>
      <c r="BK159" s="239"/>
      <c r="BL159" s="239"/>
      <c r="BM159" s="239"/>
      <c r="BN159" s="239"/>
      <c r="BO159" s="239"/>
      <c r="BP159" s="239"/>
      <c r="BQ159" s="239"/>
      <c r="BR159" s="239"/>
      <c r="BS159" s="239"/>
      <c r="BT159" s="239"/>
      <c r="BU159" s="239"/>
      <c r="BV159" s="239"/>
      <c r="BW159" s="239"/>
      <c r="BX159" s="239"/>
      <c r="BY159" s="239"/>
      <c r="BZ159" s="239"/>
    </row>
    <row r="160" ht="16.8" customHeight="1" spans="1:78" x14ac:dyDescent="0.25">
      <c r="A160" s="239"/>
      <c r="B160" s="239"/>
      <c r="C160" s="239"/>
      <c r="D160" s="239"/>
      <c r="E160" s="239"/>
      <c r="F160" s="239"/>
      <c r="G160" s="239"/>
      <c r="H160" s="239"/>
      <c r="I160" s="239"/>
      <c r="J160" s="239"/>
      <c r="K160" s="239"/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  <c r="V160" s="239"/>
      <c r="W160" s="239"/>
      <c r="X160" s="239"/>
      <c r="Y160" s="239"/>
      <c r="Z160" s="239"/>
      <c r="AA160" s="239"/>
      <c r="AB160" s="239"/>
      <c r="AC160" s="239"/>
      <c r="AD160" s="239"/>
      <c r="AE160" s="239"/>
      <c r="AF160" s="239"/>
      <c r="AG160" s="239"/>
      <c r="AH160" s="239"/>
      <c r="AI160" s="239"/>
      <c r="AJ160" s="239"/>
      <c r="AK160" s="239"/>
      <c r="AL160" s="239"/>
      <c r="AM160" s="239"/>
      <c r="AN160" s="239"/>
      <c r="AO160" s="239"/>
      <c r="AP160" s="239"/>
      <c r="AQ160" s="239"/>
      <c r="AR160" s="239"/>
      <c r="AS160" s="239"/>
      <c r="AT160" s="239"/>
      <c r="AU160" s="239"/>
      <c r="AV160" s="239"/>
      <c r="AW160" s="239"/>
      <c r="AX160" s="239"/>
      <c r="AY160" s="239"/>
      <c r="AZ160" s="239"/>
      <c r="BA160" s="239"/>
      <c r="BB160" s="239"/>
      <c r="BC160" s="239"/>
      <c r="BD160" s="239"/>
      <c r="BE160" s="239"/>
      <c r="BF160" s="239"/>
      <c r="BG160" s="239"/>
      <c r="BH160" s="239"/>
      <c r="BI160" s="239"/>
      <c r="BJ160" s="239"/>
      <c r="BK160" s="239"/>
      <c r="BL160" s="239"/>
      <c r="BM160" s="239"/>
      <c r="BN160" s="239"/>
      <c r="BO160" s="239"/>
      <c r="BP160" s="239"/>
      <c r="BQ160" s="239"/>
      <c r="BR160" s="239"/>
      <c r="BS160" s="239"/>
      <c r="BT160" s="239"/>
      <c r="BU160" s="239"/>
      <c r="BV160" s="239"/>
      <c r="BW160" s="239"/>
      <c r="BX160" s="239"/>
      <c r="BY160" s="239"/>
      <c r="BZ160" s="239"/>
    </row>
    <row r="161" ht="16.8" customHeight="1" spans="1:78" x14ac:dyDescent="0.25">
      <c r="A161" s="239"/>
      <c r="B161" s="239"/>
      <c r="C161" s="239"/>
      <c r="D161" s="239"/>
      <c r="E161" s="239"/>
      <c r="F161" s="239"/>
      <c r="G161" s="239"/>
      <c r="H161" s="239"/>
      <c r="I161" s="239"/>
      <c r="J161" s="239"/>
      <c r="K161" s="239"/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  <c r="V161" s="239"/>
      <c r="W161" s="239"/>
      <c r="X161" s="239"/>
      <c r="Y161" s="239"/>
      <c r="Z161" s="239"/>
      <c r="AA161" s="239"/>
      <c r="AB161" s="239"/>
      <c r="AC161" s="239"/>
      <c r="AD161" s="239"/>
      <c r="AE161" s="239"/>
      <c r="AF161" s="239"/>
      <c r="AG161" s="239"/>
      <c r="AH161" s="239"/>
      <c r="AI161" s="239"/>
      <c r="AJ161" s="239"/>
      <c r="AK161" s="239"/>
      <c r="AL161" s="239"/>
      <c r="AM161" s="239"/>
      <c r="AN161" s="239"/>
      <c r="AO161" s="239"/>
      <c r="AP161" s="239"/>
      <c r="AQ161" s="239"/>
      <c r="AR161" s="239"/>
      <c r="AS161" s="239"/>
      <c r="AT161" s="239"/>
      <c r="AU161" s="239"/>
      <c r="AV161" s="239"/>
      <c r="AW161" s="239"/>
      <c r="AX161" s="239"/>
      <c r="AY161" s="239"/>
      <c r="AZ161" s="239"/>
      <c r="BA161" s="239"/>
      <c r="BB161" s="239"/>
      <c r="BC161" s="239"/>
      <c r="BD161" s="239"/>
      <c r="BE161" s="239"/>
      <c r="BF161" s="239"/>
      <c r="BG161" s="239"/>
      <c r="BH161" s="239"/>
      <c r="BI161" s="239"/>
      <c r="BJ161" s="239"/>
      <c r="BK161" s="239"/>
      <c r="BL161" s="239"/>
      <c r="BM161" s="239"/>
      <c r="BN161" s="239"/>
      <c r="BO161" s="239"/>
      <c r="BP161" s="239"/>
      <c r="BQ161" s="239"/>
      <c r="BR161" s="239"/>
      <c r="BS161" s="239"/>
      <c r="BT161" s="239"/>
      <c r="BU161" s="239"/>
      <c r="BV161" s="239"/>
      <c r="BW161" s="239"/>
      <c r="BX161" s="239"/>
      <c r="BY161" s="239"/>
      <c r="BZ161" s="239"/>
    </row>
    <row r="162" ht="16.8" customHeight="1" spans="1:78" x14ac:dyDescent="0.25">
      <c r="A162" s="239"/>
      <c r="B162" s="239"/>
      <c r="C162" s="239"/>
      <c r="D162" s="239"/>
      <c r="E162" s="239"/>
      <c r="F162" s="239"/>
      <c r="G162" s="239"/>
      <c r="H162" s="239"/>
      <c r="I162" s="239"/>
      <c r="J162" s="239"/>
      <c r="K162" s="239"/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  <c r="V162" s="239"/>
      <c r="W162" s="239"/>
      <c r="X162" s="239"/>
      <c r="Y162" s="239"/>
      <c r="Z162" s="239"/>
      <c r="AA162" s="239"/>
      <c r="AB162" s="239"/>
      <c r="AC162" s="239"/>
      <c r="AD162" s="239"/>
      <c r="AE162" s="239"/>
      <c r="AF162" s="239"/>
      <c r="AG162" s="239"/>
      <c r="AH162" s="239"/>
      <c r="AI162" s="239"/>
      <c r="AJ162" s="239"/>
      <c r="AK162" s="239"/>
      <c r="AL162" s="239"/>
      <c r="AM162" s="239"/>
      <c r="AN162" s="239"/>
      <c r="AO162" s="239"/>
      <c r="AP162" s="239"/>
      <c r="AQ162" s="239"/>
      <c r="AR162" s="239"/>
      <c r="AS162" s="239"/>
      <c r="AT162" s="239"/>
      <c r="AU162" s="239"/>
      <c r="AV162" s="239"/>
      <c r="AW162" s="239"/>
      <c r="AX162" s="239"/>
      <c r="AY162" s="239"/>
      <c r="AZ162" s="239"/>
      <c r="BA162" s="239"/>
      <c r="BB162" s="239"/>
      <c r="BC162" s="239"/>
      <c r="BD162" s="239"/>
      <c r="BE162" s="239"/>
      <c r="BF162" s="239"/>
      <c r="BG162" s="239"/>
      <c r="BH162" s="239"/>
      <c r="BI162" s="239"/>
      <c r="BJ162" s="239"/>
      <c r="BK162" s="239"/>
      <c r="BL162" s="239"/>
      <c r="BM162" s="239"/>
      <c r="BN162" s="239"/>
      <c r="BO162" s="239"/>
      <c r="BP162" s="239"/>
      <c r="BQ162" s="239"/>
      <c r="BR162" s="239"/>
      <c r="BS162" s="239"/>
      <c r="BT162" s="239"/>
      <c r="BU162" s="239"/>
      <c r="BV162" s="239"/>
      <c r="BW162" s="239"/>
      <c r="BX162" s="239"/>
      <c r="BY162" s="239"/>
      <c r="BZ162" s="239"/>
    </row>
    <row r="163" ht="16.8" customHeight="1" spans="1:78" x14ac:dyDescent="0.25">
      <c r="A163" s="239"/>
      <c r="B163" s="239"/>
      <c r="C163" s="239"/>
      <c r="D163" s="239"/>
      <c r="E163" s="239"/>
      <c r="F163" s="239"/>
      <c r="G163" s="239"/>
      <c r="H163" s="239"/>
      <c r="I163" s="239"/>
      <c r="J163" s="239"/>
      <c r="K163" s="239"/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  <c r="V163" s="239"/>
      <c r="W163" s="239"/>
      <c r="X163" s="239"/>
      <c r="Y163" s="239"/>
      <c r="Z163" s="239"/>
      <c r="AA163" s="239"/>
      <c r="AB163" s="239"/>
      <c r="AC163" s="239"/>
      <c r="AD163" s="239"/>
      <c r="AE163" s="239"/>
      <c r="AF163" s="239"/>
      <c r="AG163" s="239"/>
      <c r="AH163" s="239"/>
      <c r="AI163" s="239"/>
      <c r="AJ163" s="239"/>
      <c r="AK163" s="239"/>
      <c r="AL163" s="239"/>
      <c r="AM163" s="239"/>
      <c r="AN163" s="239"/>
      <c r="AO163" s="239"/>
      <c r="AP163" s="239"/>
      <c r="AQ163" s="239"/>
      <c r="AR163" s="239"/>
      <c r="AS163" s="239"/>
      <c r="AT163" s="239"/>
      <c r="AU163" s="239"/>
      <c r="AV163" s="239"/>
      <c r="AW163" s="239"/>
      <c r="AX163" s="239"/>
      <c r="AY163" s="239"/>
      <c r="AZ163" s="239"/>
      <c r="BA163" s="239"/>
      <c r="BB163" s="239"/>
      <c r="BC163" s="239"/>
      <c r="BD163" s="239"/>
      <c r="BE163" s="239"/>
      <c r="BF163" s="239"/>
      <c r="BG163" s="239"/>
      <c r="BH163" s="239"/>
      <c r="BI163" s="239"/>
      <c r="BJ163" s="239"/>
      <c r="BK163" s="239"/>
      <c r="BL163" s="239"/>
      <c r="BM163" s="239"/>
      <c r="BN163" s="239"/>
      <c r="BO163" s="239"/>
      <c r="BP163" s="239"/>
      <c r="BQ163" s="239"/>
      <c r="BR163" s="239"/>
      <c r="BS163" s="239"/>
      <c r="BT163" s="239"/>
      <c r="BU163" s="239"/>
      <c r="BV163" s="239"/>
      <c r="BW163" s="239"/>
      <c r="BX163" s="239"/>
      <c r="BY163" s="239"/>
      <c r="BZ163" s="239"/>
    </row>
    <row r="164" ht="16.8" customHeight="1" spans="1:78" x14ac:dyDescent="0.25">
      <c r="A164" s="239"/>
      <c r="B164" s="239"/>
      <c r="C164" s="239"/>
      <c r="D164" s="239"/>
      <c r="E164" s="239"/>
      <c r="F164" s="239"/>
      <c r="G164" s="239"/>
      <c r="H164" s="239"/>
      <c r="I164" s="239"/>
      <c r="J164" s="239"/>
      <c r="K164" s="239"/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  <c r="V164" s="239"/>
      <c r="W164" s="239"/>
      <c r="X164" s="239"/>
      <c r="Y164" s="239"/>
      <c r="Z164" s="239"/>
      <c r="AA164" s="239"/>
      <c r="AB164" s="239"/>
      <c r="AC164" s="239"/>
      <c r="AD164" s="239"/>
      <c r="AE164" s="239"/>
      <c r="AF164" s="239"/>
      <c r="AG164" s="239"/>
      <c r="AH164" s="239"/>
      <c r="AI164" s="239"/>
      <c r="AJ164" s="239"/>
      <c r="AK164" s="239"/>
      <c r="AL164" s="239"/>
      <c r="AM164" s="239"/>
      <c r="AN164" s="239"/>
      <c r="AO164" s="239"/>
      <c r="AP164" s="239"/>
      <c r="AQ164" s="239"/>
      <c r="AR164" s="239"/>
      <c r="AS164" s="239"/>
      <c r="AT164" s="239"/>
      <c r="AU164" s="239"/>
      <c r="AV164" s="239"/>
      <c r="AW164" s="239"/>
      <c r="AX164" s="239"/>
      <c r="AY164" s="239"/>
      <c r="AZ164" s="239"/>
      <c r="BA164" s="239"/>
      <c r="BB164" s="239"/>
      <c r="BC164" s="239"/>
      <c r="BD164" s="239"/>
      <c r="BE164" s="239"/>
      <c r="BF164" s="239"/>
      <c r="BG164" s="239"/>
      <c r="BH164" s="239"/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39"/>
      <c r="BS164" s="239"/>
      <c r="BT164" s="239"/>
      <c r="BU164" s="239"/>
      <c r="BV164" s="239"/>
      <c r="BW164" s="239"/>
      <c r="BX164" s="239"/>
      <c r="BY164" s="239"/>
      <c r="BZ164" s="239"/>
    </row>
    <row r="165" ht="16.8" customHeight="1" spans="1:78" x14ac:dyDescent="0.25">
      <c r="A165" s="239"/>
      <c r="B165" s="239"/>
      <c r="C165" s="239"/>
      <c r="D165" s="239"/>
      <c r="E165" s="239"/>
      <c r="F165" s="239"/>
      <c r="G165" s="239"/>
      <c r="H165" s="239"/>
      <c r="I165" s="239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  <c r="V165" s="239"/>
      <c r="W165" s="239"/>
      <c r="X165" s="239"/>
      <c r="Y165" s="239"/>
      <c r="Z165" s="239"/>
      <c r="AA165" s="239"/>
      <c r="AB165" s="239"/>
      <c r="AC165" s="239"/>
      <c r="AD165" s="239"/>
      <c r="AE165" s="239"/>
      <c r="AF165" s="239"/>
      <c r="AG165" s="239"/>
      <c r="AH165" s="239"/>
      <c r="AI165" s="239"/>
      <c r="AJ165" s="239"/>
      <c r="AK165" s="239"/>
      <c r="AL165" s="239"/>
      <c r="AM165" s="239"/>
      <c r="AN165" s="239"/>
      <c r="AO165" s="239"/>
      <c r="AP165" s="239"/>
      <c r="AQ165" s="239"/>
      <c r="AR165" s="239"/>
      <c r="AS165" s="239"/>
      <c r="AT165" s="239"/>
      <c r="AU165" s="239"/>
      <c r="AV165" s="239"/>
      <c r="AW165" s="239"/>
      <c r="AX165" s="239"/>
      <c r="AY165" s="239"/>
      <c r="AZ165" s="239"/>
      <c r="BA165" s="239"/>
      <c r="BB165" s="239"/>
      <c r="BC165" s="239"/>
      <c r="BD165" s="239"/>
      <c r="BE165" s="239"/>
      <c r="BF165" s="239"/>
      <c r="BG165" s="239"/>
      <c r="BH165" s="239"/>
      <c r="BI165" s="239"/>
      <c r="BJ165" s="239"/>
      <c r="BK165" s="239"/>
      <c r="BL165" s="239"/>
      <c r="BM165" s="239"/>
      <c r="BN165" s="239"/>
      <c r="BO165" s="239"/>
      <c r="BP165" s="239"/>
      <c r="BQ165" s="239"/>
      <c r="BR165" s="239"/>
      <c r="BS165" s="239"/>
      <c r="BT165" s="239"/>
      <c r="BU165" s="239"/>
      <c r="BV165" s="239"/>
      <c r="BW165" s="239"/>
      <c r="BX165" s="239"/>
      <c r="BY165" s="239"/>
      <c r="BZ165" s="239"/>
    </row>
    <row r="166" ht="16.8" customHeight="1" spans="1:78" x14ac:dyDescent="0.25">
      <c r="A166" s="239"/>
      <c r="B166" s="239"/>
      <c r="C166" s="239"/>
      <c r="D166" s="239"/>
      <c r="E166" s="239"/>
      <c r="F166" s="239"/>
      <c r="G166" s="239"/>
      <c r="H166" s="239"/>
      <c r="I166" s="239"/>
      <c r="J166" s="239"/>
      <c r="K166" s="239"/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  <c r="V166" s="239"/>
      <c r="W166" s="239"/>
      <c r="X166" s="239"/>
      <c r="Y166" s="239"/>
      <c r="Z166" s="239"/>
      <c r="AA166" s="239"/>
      <c r="AB166" s="239"/>
      <c r="AC166" s="239"/>
      <c r="AD166" s="239"/>
      <c r="AE166" s="239"/>
      <c r="AF166" s="239"/>
      <c r="AG166" s="239"/>
      <c r="AH166" s="239"/>
      <c r="AI166" s="239"/>
      <c r="AJ166" s="239"/>
      <c r="AK166" s="239"/>
      <c r="AL166" s="239"/>
      <c r="AM166" s="239"/>
      <c r="AN166" s="239"/>
      <c r="AO166" s="239"/>
      <c r="AP166" s="239"/>
      <c r="AQ166" s="239"/>
      <c r="AR166" s="239"/>
      <c r="AS166" s="239"/>
      <c r="AT166" s="239"/>
      <c r="AU166" s="239"/>
      <c r="AV166" s="239"/>
      <c r="AW166" s="239"/>
      <c r="AX166" s="239"/>
      <c r="AY166" s="239"/>
      <c r="AZ166" s="239"/>
      <c r="BA166" s="239"/>
      <c r="BB166" s="239"/>
      <c r="BC166" s="239"/>
      <c r="BD166" s="239"/>
      <c r="BE166" s="239"/>
      <c r="BF166" s="239"/>
      <c r="BG166" s="239"/>
      <c r="BH166" s="239"/>
      <c r="BI166" s="239"/>
      <c r="BJ166" s="239"/>
      <c r="BK166" s="239"/>
      <c r="BL166" s="239"/>
      <c r="BM166" s="239"/>
      <c r="BN166" s="239"/>
      <c r="BO166" s="239"/>
      <c r="BP166" s="239"/>
      <c r="BQ166" s="239"/>
      <c r="BR166" s="239"/>
      <c r="BS166" s="239"/>
      <c r="BT166" s="239"/>
      <c r="BU166" s="239"/>
      <c r="BV166" s="239"/>
      <c r="BW166" s="239"/>
      <c r="BX166" s="239"/>
      <c r="BY166" s="239"/>
      <c r="BZ166" s="239"/>
    </row>
    <row r="167" ht="16.8" customHeight="1" spans="1:78" x14ac:dyDescent="0.25">
      <c r="A167" s="239"/>
      <c r="B167" s="239"/>
      <c r="C167" s="239"/>
      <c r="D167" s="239"/>
      <c r="E167" s="239"/>
      <c r="F167" s="239"/>
      <c r="G167" s="239"/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  <c r="V167" s="239"/>
      <c r="W167" s="239"/>
      <c r="X167" s="239"/>
      <c r="Y167" s="239"/>
      <c r="Z167" s="239"/>
      <c r="AA167" s="239"/>
      <c r="AB167" s="239"/>
      <c r="AC167" s="239"/>
      <c r="AD167" s="239"/>
      <c r="AE167" s="239"/>
      <c r="AF167" s="239"/>
      <c r="AG167" s="239"/>
      <c r="AH167" s="239"/>
      <c r="AI167" s="239"/>
      <c r="AJ167" s="239"/>
      <c r="AK167" s="239"/>
      <c r="AL167" s="239"/>
      <c r="AM167" s="239"/>
      <c r="AN167" s="239"/>
      <c r="AO167" s="239"/>
      <c r="AP167" s="239"/>
      <c r="AQ167" s="239"/>
      <c r="AR167" s="239"/>
      <c r="AS167" s="239"/>
      <c r="AT167" s="239"/>
      <c r="AU167" s="239"/>
      <c r="AV167" s="239"/>
      <c r="AW167" s="239"/>
      <c r="AX167" s="239"/>
      <c r="AY167" s="239"/>
      <c r="AZ167" s="239"/>
      <c r="BA167" s="239"/>
      <c r="BB167" s="239"/>
      <c r="BC167" s="239"/>
      <c r="BD167" s="239"/>
      <c r="BE167" s="239"/>
      <c r="BF167" s="239"/>
      <c r="BG167" s="239"/>
      <c r="BH167" s="239"/>
      <c r="BI167" s="239"/>
      <c r="BJ167" s="239"/>
      <c r="BK167" s="239"/>
      <c r="BL167" s="239"/>
      <c r="BM167" s="239"/>
      <c r="BN167" s="239"/>
      <c r="BO167" s="239"/>
      <c r="BP167" s="239"/>
      <c r="BQ167" s="239"/>
      <c r="BR167" s="239"/>
      <c r="BS167" s="239"/>
      <c r="BT167" s="239"/>
      <c r="BU167" s="239"/>
      <c r="BV167" s="239"/>
      <c r="BW167" s="239"/>
      <c r="BX167" s="239"/>
      <c r="BY167" s="239"/>
      <c r="BZ167" s="239"/>
    </row>
    <row r="168" ht="16.8" customHeight="1" spans="1:78" x14ac:dyDescent="0.25">
      <c r="A168" s="239"/>
      <c r="B168" s="239"/>
      <c r="C168" s="239"/>
      <c r="D168" s="239"/>
      <c r="E168" s="239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  <c r="V168" s="239"/>
      <c r="W168" s="239"/>
      <c r="X168" s="239"/>
      <c r="Y168" s="239"/>
      <c r="Z168" s="239"/>
      <c r="AA168" s="239"/>
      <c r="AB168" s="239"/>
      <c r="AC168" s="239"/>
      <c r="AD168" s="239"/>
      <c r="AE168" s="239"/>
      <c r="AF168" s="239"/>
      <c r="AG168" s="239"/>
      <c r="AH168" s="239"/>
      <c r="AI168" s="239"/>
      <c r="AJ168" s="239"/>
      <c r="AK168" s="239"/>
      <c r="AL168" s="239"/>
      <c r="AM168" s="239"/>
      <c r="AN168" s="239"/>
      <c r="AO168" s="239"/>
      <c r="AP168" s="239"/>
      <c r="AQ168" s="239"/>
      <c r="AR168" s="239"/>
      <c r="AS168" s="239"/>
      <c r="AT168" s="239"/>
      <c r="AU168" s="239"/>
      <c r="AV168" s="239"/>
      <c r="AW168" s="239"/>
      <c r="AX168" s="239"/>
      <c r="AY168" s="239"/>
      <c r="AZ168" s="239"/>
      <c r="BA168" s="239"/>
      <c r="BB168" s="239"/>
      <c r="BC168" s="239"/>
      <c r="BD168" s="239"/>
      <c r="BE168" s="239"/>
      <c r="BF168" s="239"/>
      <c r="BG168" s="239"/>
      <c r="BH168" s="239"/>
      <c r="BI168" s="239"/>
      <c r="BJ168" s="239"/>
      <c r="BK168" s="239"/>
      <c r="BL168" s="239"/>
      <c r="BM168" s="239"/>
      <c r="BN168" s="239"/>
      <c r="BO168" s="239"/>
      <c r="BP168" s="239"/>
      <c r="BQ168" s="239"/>
      <c r="BR168" s="239"/>
      <c r="BS168" s="239"/>
      <c r="BT168" s="239"/>
      <c r="BU168" s="239"/>
      <c r="BV168" s="239"/>
      <c r="BW168" s="239"/>
      <c r="BX168" s="239"/>
      <c r="BY168" s="239"/>
      <c r="BZ168" s="239"/>
    </row>
    <row r="169" ht="16.8" customHeight="1" spans="1:78" x14ac:dyDescent="0.25">
      <c r="A169" s="239"/>
      <c r="B169" s="239"/>
      <c r="C169" s="239"/>
      <c r="D169" s="239"/>
      <c r="E169" s="239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  <c r="V169" s="239"/>
      <c r="W169" s="239"/>
      <c r="X169" s="239"/>
      <c r="Y169" s="239"/>
      <c r="Z169" s="239"/>
      <c r="AA169" s="239"/>
      <c r="AB169" s="239"/>
      <c r="AC169" s="239"/>
      <c r="AD169" s="239"/>
      <c r="AE169" s="239"/>
      <c r="AF169" s="239"/>
      <c r="AG169" s="239"/>
      <c r="AH169" s="239"/>
      <c r="AI169" s="239"/>
      <c r="AJ169" s="239"/>
      <c r="AK169" s="239"/>
      <c r="AL169" s="239"/>
      <c r="AM169" s="239"/>
      <c r="AN169" s="239"/>
      <c r="AO169" s="239"/>
      <c r="AP169" s="239"/>
      <c r="AQ169" s="239"/>
      <c r="AR169" s="239"/>
      <c r="AS169" s="239"/>
      <c r="AT169" s="239"/>
      <c r="AU169" s="239"/>
      <c r="AV169" s="239"/>
      <c r="AW169" s="239"/>
      <c r="AX169" s="239"/>
      <c r="AY169" s="239"/>
      <c r="AZ169" s="239"/>
      <c r="BA169" s="239"/>
      <c r="BB169" s="239"/>
      <c r="BC169" s="239"/>
      <c r="BD169" s="239"/>
      <c r="BE169" s="239"/>
      <c r="BF169" s="239"/>
      <c r="BG169" s="239"/>
      <c r="BH169" s="239"/>
      <c r="BI169" s="239"/>
      <c r="BJ169" s="239"/>
      <c r="BK169" s="239"/>
      <c r="BL169" s="239"/>
      <c r="BM169" s="239"/>
      <c r="BN169" s="239"/>
      <c r="BO169" s="239"/>
      <c r="BP169" s="239"/>
      <c r="BQ169" s="239"/>
      <c r="BR169" s="239"/>
      <c r="BS169" s="239"/>
      <c r="BT169" s="239"/>
      <c r="BU169" s="239"/>
      <c r="BV169" s="239"/>
      <c r="BW169" s="239"/>
      <c r="BX169" s="239"/>
      <c r="BY169" s="239"/>
      <c r="BZ169" s="239"/>
    </row>
    <row r="170" ht="16.8" customHeight="1" spans="1:78" x14ac:dyDescent="0.25">
      <c r="A170" s="239"/>
      <c r="B170" s="239"/>
      <c r="C170" s="239"/>
      <c r="D170" s="239"/>
      <c r="E170" s="239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  <c r="V170" s="239"/>
      <c r="W170" s="239"/>
      <c r="X170" s="239"/>
      <c r="Y170" s="239"/>
      <c r="Z170" s="239"/>
      <c r="AA170" s="239"/>
      <c r="AB170" s="239"/>
      <c r="AC170" s="239"/>
      <c r="AD170" s="239"/>
      <c r="AE170" s="239"/>
      <c r="AF170" s="239"/>
      <c r="AG170" s="239"/>
      <c r="AH170" s="239"/>
      <c r="AI170" s="239"/>
      <c r="AJ170" s="239"/>
      <c r="AK170" s="239"/>
      <c r="AL170" s="239"/>
      <c r="AM170" s="239"/>
      <c r="AN170" s="239"/>
      <c r="AO170" s="239"/>
      <c r="AP170" s="239"/>
      <c r="AQ170" s="239"/>
      <c r="AR170" s="239"/>
      <c r="AS170" s="239"/>
      <c r="AT170" s="239"/>
      <c r="AU170" s="239"/>
      <c r="AV170" s="239"/>
      <c r="AW170" s="239"/>
      <c r="AX170" s="239"/>
      <c r="AY170" s="239"/>
      <c r="AZ170" s="239"/>
      <c r="BA170" s="239"/>
      <c r="BB170" s="239"/>
      <c r="BC170" s="239"/>
      <c r="BD170" s="239"/>
      <c r="BE170" s="239"/>
      <c r="BF170" s="239"/>
      <c r="BG170" s="239"/>
      <c r="BH170" s="239"/>
      <c r="BI170" s="239"/>
      <c r="BJ170" s="239"/>
      <c r="BK170" s="239"/>
      <c r="BL170" s="239"/>
      <c r="BM170" s="239"/>
      <c r="BN170" s="239"/>
      <c r="BO170" s="239"/>
      <c r="BP170" s="239"/>
      <c r="BQ170" s="239"/>
      <c r="BR170" s="239"/>
      <c r="BS170" s="239"/>
      <c r="BT170" s="239"/>
      <c r="BU170" s="239"/>
      <c r="BV170" s="239"/>
      <c r="BW170" s="239"/>
      <c r="BX170" s="239"/>
      <c r="BY170" s="239"/>
      <c r="BZ170" s="239"/>
    </row>
    <row r="171" ht="16.8" customHeight="1" spans="1:78" x14ac:dyDescent="0.25">
      <c r="A171" s="239"/>
      <c r="B171" s="239"/>
      <c r="C171" s="239"/>
      <c r="D171" s="239"/>
      <c r="E171" s="239"/>
      <c r="F171" s="239"/>
      <c r="G171" s="239"/>
      <c r="H171" s="239"/>
      <c r="I171" s="239"/>
      <c r="J171" s="239"/>
      <c r="K171" s="239"/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  <c r="V171" s="239"/>
      <c r="W171" s="239"/>
      <c r="X171" s="239"/>
      <c r="Y171" s="239"/>
      <c r="Z171" s="239"/>
      <c r="AA171" s="239"/>
      <c r="AB171" s="239"/>
      <c r="AC171" s="239"/>
      <c r="AD171" s="239"/>
      <c r="AE171" s="239"/>
      <c r="AF171" s="239"/>
      <c r="AG171" s="239"/>
      <c r="AH171" s="239"/>
      <c r="AI171" s="239"/>
      <c r="AJ171" s="239"/>
      <c r="AK171" s="239"/>
      <c r="AL171" s="239"/>
      <c r="AM171" s="239"/>
      <c r="AN171" s="239"/>
      <c r="AO171" s="239"/>
      <c r="AP171" s="239"/>
      <c r="AQ171" s="239"/>
      <c r="AR171" s="239"/>
      <c r="AS171" s="239"/>
      <c r="AT171" s="239"/>
      <c r="AU171" s="239"/>
      <c r="AV171" s="239"/>
      <c r="AW171" s="239"/>
      <c r="AX171" s="239"/>
      <c r="AY171" s="239"/>
      <c r="AZ171" s="239"/>
      <c r="BA171" s="239"/>
      <c r="BB171" s="239"/>
      <c r="BC171" s="239"/>
      <c r="BD171" s="239"/>
      <c r="BE171" s="239"/>
      <c r="BF171" s="239"/>
      <c r="BG171" s="239"/>
      <c r="BH171" s="239"/>
      <c r="BI171" s="239"/>
      <c r="BJ171" s="239"/>
      <c r="BK171" s="239"/>
      <c r="BL171" s="239"/>
      <c r="BM171" s="239"/>
      <c r="BN171" s="239"/>
      <c r="BO171" s="239"/>
      <c r="BP171" s="239"/>
      <c r="BQ171" s="239"/>
      <c r="BR171" s="239"/>
      <c r="BS171" s="239"/>
      <c r="BT171" s="239"/>
      <c r="BU171" s="239"/>
      <c r="BV171" s="239"/>
      <c r="BW171" s="239"/>
      <c r="BX171" s="239"/>
      <c r="BY171" s="239"/>
      <c r="BZ171" s="239"/>
    </row>
    <row r="172" ht="16.8" customHeight="1" spans="1:78" x14ac:dyDescent="0.25">
      <c r="A172" s="239"/>
      <c r="B172" s="239"/>
      <c r="C172" s="239"/>
      <c r="D172" s="239"/>
      <c r="E172" s="239"/>
      <c r="F172" s="239"/>
      <c r="G172" s="239"/>
      <c r="H172" s="239"/>
      <c r="I172" s="239"/>
      <c r="J172" s="239"/>
      <c r="K172" s="239"/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  <c r="V172" s="239"/>
      <c r="W172" s="239"/>
      <c r="X172" s="239"/>
      <c r="Y172" s="239"/>
      <c r="Z172" s="239"/>
      <c r="AA172" s="239"/>
      <c r="AB172" s="239"/>
      <c r="AC172" s="239"/>
      <c r="AD172" s="239"/>
      <c r="AE172" s="239"/>
      <c r="AF172" s="239"/>
      <c r="AG172" s="239"/>
      <c r="AH172" s="239"/>
      <c r="AI172" s="239"/>
      <c r="AJ172" s="239"/>
      <c r="AK172" s="239"/>
      <c r="AL172" s="239"/>
      <c r="AM172" s="239"/>
      <c r="AN172" s="239"/>
      <c r="AO172" s="239"/>
      <c r="AP172" s="239"/>
      <c r="AQ172" s="239"/>
      <c r="AR172" s="239"/>
      <c r="AS172" s="239"/>
      <c r="AT172" s="239"/>
      <c r="AU172" s="239"/>
      <c r="AV172" s="239"/>
      <c r="AW172" s="239"/>
      <c r="AX172" s="239"/>
      <c r="AY172" s="239"/>
      <c r="AZ172" s="239"/>
      <c r="BA172" s="239"/>
      <c r="BB172" s="239"/>
      <c r="BC172" s="239"/>
      <c r="BD172" s="239"/>
      <c r="BE172" s="239"/>
      <c r="BF172" s="239"/>
      <c r="BG172" s="239"/>
      <c r="BH172" s="239"/>
      <c r="BI172" s="239"/>
      <c r="BJ172" s="239"/>
      <c r="BK172" s="239"/>
      <c r="BL172" s="239"/>
      <c r="BM172" s="239"/>
      <c r="BN172" s="239"/>
      <c r="BO172" s="239"/>
      <c r="BP172" s="239"/>
      <c r="BQ172" s="239"/>
      <c r="BR172" s="239"/>
      <c r="BS172" s="239"/>
      <c r="BT172" s="239"/>
      <c r="BU172" s="239"/>
      <c r="BV172" s="239"/>
      <c r="BW172" s="239"/>
      <c r="BX172" s="239"/>
      <c r="BY172" s="239"/>
      <c r="BZ172" s="239"/>
    </row>
    <row r="173" ht="16.8" customHeight="1" spans="1:78" x14ac:dyDescent="0.25">
      <c r="A173" s="239"/>
      <c r="B173" s="239"/>
      <c r="C173" s="239"/>
      <c r="D173" s="239"/>
      <c r="E173" s="239"/>
      <c r="F173" s="239"/>
      <c r="G173" s="239"/>
      <c r="H173" s="239"/>
      <c r="I173" s="239"/>
      <c r="J173" s="239"/>
      <c r="K173" s="239"/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  <c r="V173" s="239"/>
      <c r="W173" s="239"/>
      <c r="X173" s="239"/>
      <c r="Y173" s="239"/>
      <c r="Z173" s="239"/>
      <c r="AA173" s="239"/>
      <c r="AB173" s="239"/>
      <c r="AC173" s="239"/>
      <c r="AD173" s="239"/>
      <c r="AE173" s="239"/>
      <c r="AF173" s="239"/>
      <c r="AG173" s="239"/>
      <c r="AH173" s="239"/>
      <c r="AI173" s="239"/>
      <c r="AJ173" s="239"/>
      <c r="AK173" s="239"/>
      <c r="AL173" s="239"/>
      <c r="AM173" s="239"/>
      <c r="AN173" s="239"/>
      <c r="AO173" s="239"/>
      <c r="AP173" s="239"/>
      <c r="AQ173" s="239"/>
      <c r="AR173" s="239"/>
      <c r="AS173" s="239"/>
      <c r="AT173" s="239"/>
      <c r="AU173" s="239"/>
      <c r="AV173" s="239"/>
      <c r="AW173" s="239"/>
      <c r="AX173" s="239"/>
      <c r="AY173" s="239"/>
      <c r="AZ173" s="239"/>
      <c r="BA173" s="239"/>
      <c r="BB173" s="239"/>
      <c r="BC173" s="239"/>
      <c r="BD173" s="239"/>
      <c r="BE173" s="239"/>
      <c r="BF173" s="239"/>
      <c r="BG173" s="239"/>
      <c r="BH173" s="239"/>
      <c r="BI173" s="239"/>
      <c r="BJ173" s="239"/>
      <c r="BK173" s="239"/>
      <c r="BL173" s="239"/>
      <c r="BM173" s="239"/>
      <c r="BN173" s="239"/>
      <c r="BO173" s="239"/>
      <c r="BP173" s="239"/>
      <c r="BQ173" s="239"/>
      <c r="BR173" s="239"/>
      <c r="BS173" s="239"/>
      <c r="BT173" s="239"/>
      <c r="BU173" s="239"/>
      <c r="BV173" s="239"/>
      <c r="BW173" s="239"/>
      <c r="BX173" s="239"/>
      <c r="BY173" s="239"/>
      <c r="BZ173" s="239"/>
    </row>
    <row r="174" ht="16.8" customHeight="1" spans="1:78" x14ac:dyDescent="0.25">
      <c r="A174" s="239"/>
      <c r="B174" s="239"/>
      <c r="C174" s="239"/>
      <c r="D174" s="239"/>
      <c r="E174" s="239"/>
      <c r="F174" s="239"/>
      <c r="G174" s="239"/>
      <c r="H174" s="239"/>
      <c r="I174" s="239"/>
      <c r="J174" s="239"/>
      <c r="K174" s="239"/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  <c r="V174" s="239"/>
      <c r="W174" s="239"/>
      <c r="X174" s="239"/>
      <c r="Y174" s="239"/>
      <c r="Z174" s="239"/>
      <c r="AA174" s="239"/>
      <c r="AB174" s="239"/>
      <c r="AC174" s="239"/>
      <c r="AD174" s="239"/>
      <c r="AE174" s="239"/>
      <c r="AF174" s="239"/>
      <c r="AG174" s="239"/>
      <c r="AH174" s="239"/>
      <c r="AI174" s="239"/>
      <c r="AJ174" s="239"/>
      <c r="AK174" s="239"/>
      <c r="AL174" s="239"/>
      <c r="AM174" s="239"/>
      <c r="AN174" s="239"/>
      <c r="AO174" s="239"/>
      <c r="AP174" s="239"/>
      <c r="AQ174" s="239"/>
      <c r="AR174" s="239"/>
      <c r="AS174" s="239"/>
      <c r="AT174" s="239"/>
      <c r="AU174" s="239"/>
      <c r="AV174" s="239"/>
      <c r="AW174" s="239"/>
      <c r="AX174" s="239"/>
      <c r="AY174" s="239"/>
      <c r="AZ174" s="239"/>
      <c r="BA174" s="239"/>
      <c r="BB174" s="239"/>
      <c r="BC174" s="239"/>
      <c r="BD174" s="239"/>
      <c r="BE174" s="239"/>
      <c r="BF174" s="239"/>
      <c r="BG174" s="239"/>
      <c r="BH174" s="239"/>
      <c r="BI174" s="239"/>
      <c r="BJ174" s="239"/>
      <c r="BK174" s="239"/>
      <c r="BL174" s="239"/>
      <c r="BM174" s="239"/>
      <c r="BN174" s="239"/>
      <c r="BO174" s="239"/>
      <c r="BP174" s="239"/>
      <c r="BQ174" s="239"/>
      <c r="BR174" s="239"/>
      <c r="BS174" s="239"/>
      <c r="BT174" s="239"/>
      <c r="BU174" s="239"/>
      <c r="BV174" s="239"/>
      <c r="BW174" s="239"/>
      <c r="BX174" s="239"/>
      <c r="BY174" s="239"/>
      <c r="BZ174" s="239"/>
    </row>
    <row r="175" ht="16.8" customHeight="1" spans="1:78" x14ac:dyDescent="0.25">
      <c r="A175" s="239"/>
      <c r="B175" s="239"/>
      <c r="C175" s="239"/>
      <c r="D175" s="239"/>
      <c r="E175" s="239"/>
      <c r="F175" s="239"/>
      <c r="G175" s="239"/>
      <c r="H175" s="239"/>
      <c r="I175" s="239"/>
      <c r="J175" s="239"/>
      <c r="K175" s="239"/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  <c r="V175" s="239"/>
      <c r="W175" s="239"/>
      <c r="X175" s="239"/>
      <c r="Y175" s="239"/>
      <c r="Z175" s="239"/>
      <c r="AA175" s="239"/>
      <c r="AB175" s="239"/>
      <c r="AC175" s="239"/>
      <c r="AD175" s="239"/>
      <c r="AE175" s="239"/>
      <c r="AF175" s="239"/>
      <c r="AG175" s="239"/>
      <c r="AH175" s="239"/>
      <c r="AI175" s="239"/>
      <c r="AJ175" s="239"/>
      <c r="AK175" s="239"/>
      <c r="AL175" s="239"/>
      <c r="AM175" s="239"/>
      <c r="AN175" s="239"/>
      <c r="AO175" s="239"/>
      <c r="AP175" s="239"/>
      <c r="AQ175" s="239"/>
      <c r="AR175" s="239"/>
      <c r="AS175" s="239"/>
      <c r="AT175" s="239"/>
      <c r="AU175" s="239"/>
      <c r="AV175" s="239"/>
      <c r="AW175" s="239"/>
      <c r="AX175" s="239"/>
      <c r="AY175" s="239"/>
      <c r="AZ175" s="239"/>
      <c r="BA175" s="239"/>
      <c r="BB175" s="239"/>
      <c r="BC175" s="239"/>
      <c r="BD175" s="239"/>
      <c r="BE175" s="239"/>
      <c r="BF175" s="239"/>
      <c r="BG175" s="239"/>
      <c r="BH175" s="239"/>
      <c r="BI175" s="239"/>
      <c r="BJ175" s="239"/>
      <c r="BK175" s="239"/>
      <c r="BL175" s="239"/>
      <c r="BM175" s="239"/>
      <c r="BN175" s="239"/>
      <c r="BO175" s="239"/>
      <c r="BP175" s="239"/>
      <c r="BQ175" s="239"/>
      <c r="BR175" s="239"/>
      <c r="BS175" s="239"/>
      <c r="BT175" s="239"/>
      <c r="BU175" s="239"/>
      <c r="BV175" s="239"/>
      <c r="BW175" s="239"/>
      <c r="BX175" s="239"/>
      <c r="BY175" s="239"/>
      <c r="BZ175" s="239"/>
    </row>
    <row r="176" ht="16.8" customHeight="1" spans="1:78" x14ac:dyDescent="0.25">
      <c r="A176" s="239"/>
      <c r="B176" s="239"/>
      <c r="C176" s="239"/>
      <c r="D176" s="239"/>
      <c r="E176" s="239"/>
      <c r="F176" s="239"/>
      <c r="G176" s="239"/>
      <c r="H176" s="239"/>
      <c r="I176" s="239"/>
      <c r="J176" s="239"/>
      <c r="K176" s="239"/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  <c r="V176" s="239"/>
      <c r="W176" s="239"/>
      <c r="X176" s="239"/>
      <c r="Y176" s="239"/>
      <c r="Z176" s="239"/>
      <c r="AA176" s="239"/>
      <c r="AB176" s="239"/>
      <c r="AC176" s="239"/>
      <c r="AD176" s="239"/>
      <c r="AE176" s="239"/>
      <c r="AF176" s="239"/>
      <c r="AG176" s="239"/>
      <c r="AH176" s="239"/>
      <c r="AI176" s="239"/>
      <c r="AJ176" s="239"/>
      <c r="AK176" s="239"/>
      <c r="AL176" s="239"/>
      <c r="AM176" s="239"/>
      <c r="AN176" s="239"/>
      <c r="AO176" s="239"/>
      <c r="AP176" s="239"/>
      <c r="AQ176" s="239"/>
      <c r="AR176" s="239"/>
      <c r="AS176" s="239"/>
      <c r="AT176" s="239"/>
      <c r="AU176" s="239"/>
      <c r="AV176" s="239"/>
      <c r="AW176" s="239"/>
      <c r="AX176" s="239"/>
      <c r="AY176" s="239"/>
      <c r="AZ176" s="239"/>
      <c r="BA176" s="239"/>
      <c r="BB176" s="239"/>
      <c r="BC176" s="239"/>
      <c r="BD176" s="239"/>
      <c r="BE176" s="239"/>
      <c r="BF176" s="239"/>
      <c r="BG176" s="239"/>
      <c r="BH176" s="239"/>
      <c r="BI176" s="239"/>
      <c r="BJ176" s="239"/>
      <c r="BK176" s="239"/>
      <c r="BL176" s="239"/>
      <c r="BM176" s="239"/>
      <c r="BN176" s="239"/>
      <c r="BO176" s="239"/>
      <c r="BP176" s="239"/>
      <c r="BQ176" s="239"/>
      <c r="BR176" s="239"/>
      <c r="BS176" s="239"/>
      <c r="BT176" s="239"/>
      <c r="BU176" s="239"/>
      <c r="BV176" s="239"/>
      <c r="BW176" s="239"/>
      <c r="BX176" s="239"/>
      <c r="BY176" s="239"/>
      <c r="BZ176" s="239"/>
    </row>
    <row r="177" ht="16.8" customHeight="1" spans="1:78" x14ac:dyDescent="0.25">
      <c r="A177" s="239"/>
      <c r="B177" s="239"/>
      <c r="C177" s="239"/>
      <c r="D177" s="239"/>
      <c r="E177" s="239"/>
      <c r="F177" s="239"/>
      <c r="G177" s="239"/>
      <c r="H177" s="239"/>
      <c r="I177" s="239"/>
      <c r="J177" s="239"/>
      <c r="K177" s="239"/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  <c r="V177" s="239"/>
      <c r="W177" s="239"/>
      <c r="X177" s="239"/>
      <c r="Y177" s="239"/>
      <c r="Z177" s="239"/>
      <c r="AA177" s="239"/>
      <c r="AB177" s="239"/>
      <c r="AC177" s="239"/>
      <c r="AD177" s="239"/>
      <c r="AE177" s="239"/>
      <c r="AF177" s="239"/>
      <c r="AG177" s="239"/>
      <c r="AH177" s="239"/>
      <c r="AI177" s="239"/>
      <c r="AJ177" s="239"/>
      <c r="AK177" s="239"/>
      <c r="AL177" s="239"/>
      <c r="AM177" s="239"/>
      <c r="AN177" s="239"/>
      <c r="AO177" s="239"/>
      <c r="AP177" s="239"/>
      <c r="AQ177" s="239"/>
      <c r="AR177" s="239"/>
      <c r="AS177" s="239"/>
      <c r="AT177" s="239"/>
      <c r="AU177" s="239"/>
      <c r="AV177" s="239"/>
      <c r="AW177" s="239"/>
      <c r="AX177" s="239"/>
      <c r="AY177" s="239"/>
      <c r="AZ177" s="239"/>
      <c r="BA177" s="239"/>
      <c r="BB177" s="239"/>
      <c r="BC177" s="239"/>
      <c r="BD177" s="239"/>
      <c r="BE177" s="239"/>
      <c r="BF177" s="239"/>
      <c r="BG177" s="239"/>
      <c r="BH177" s="239"/>
      <c r="BI177" s="239"/>
      <c r="BJ177" s="239"/>
      <c r="BK177" s="239"/>
      <c r="BL177" s="239"/>
      <c r="BM177" s="239"/>
      <c r="BN177" s="239"/>
      <c r="BO177" s="239"/>
      <c r="BP177" s="239"/>
      <c r="BQ177" s="239"/>
      <c r="BR177" s="239"/>
      <c r="BS177" s="239"/>
      <c r="BT177" s="239"/>
      <c r="BU177" s="239"/>
      <c r="BV177" s="239"/>
      <c r="BW177" s="239"/>
      <c r="BX177" s="239"/>
      <c r="BY177" s="239"/>
      <c r="BZ177" s="239"/>
    </row>
    <row r="178" ht="16.8" customHeight="1" spans="1:78" x14ac:dyDescent="0.25">
      <c r="A178" s="239"/>
      <c r="B178" s="239"/>
      <c r="C178" s="239"/>
      <c r="D178" s="239"/>
      <c r="E178" s="239"/>
      <c r="F178" s="239"/>
      <c r="G178" s="239"/>
      <c r="H178" s="239"/>
      <c r="I178" s="239"/>
      <c r="J178" s="239"/>
      <c r="K178" s="239"/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  <c r="V178" s="239"/>
      <c r="W178" s="239"/>
      <c r="X178" s="239"/>
      <c r="Y178" s="239"/>
      <c r="Z178" s="239"/>
      <c r="AA178" s="239"/>
      <c r="AB178" s="239"/>
      <c r="AC178" s="239"/>
      <c r="AD178" s="239"/>
      <c r="AE178" s="239"/>
      <c r="AF178" s="239"/>
      <c r="AG178" s="239"/>
      <c r="AH178" s="239"/>
      <c r="AI178" s="239"/>
      <c r="AJ178" s="239"/>
      <c r="AK178" s="239"/>
      <c r="AL178" s="239"/>
      <c r="AM178" s="239"/>
      <c r="AN178" s="239"/>
      <c r="AO178" s="239"/>
      <c r="AP178" s="239"/>
      <c r="AQ178" s="239"/>
      <c r="AR178" s="239"/>
      <c r="AS178" s="239"/>
      <c r="AT178" s="239"/>
      <c r="AU178" s="239"/>
      <c r="AV178" s="239"/>
      <c r="AW178" s="239"/>
      <c r="AX178" s="239"/>
      <c r="AY178" s="239"/>
      <c r="AZ178" s="239"/>
      <c r="BA178" s="239"/>
      <c r="BB178" s="239"/>
      <c r="BC178" s="239"/>
      <c r="BD178" s="239"/>
      <c r="BE178" s="239"/>
      <c r="BF178" s="239"/>
      <c r="BG178" s="239"/>
      <c r="BH178" s="239"/>
      <c r="BI178" s="239"/>
      <c r="BJ178" s="239"/>
      <c r="BK178" s="239"/>
      <c r="BL178" s="239"/>
      <c r="BM178" s="239"/>
      <c r="BN178" s="239"/>
      <c r="BO178" s="239"/>
      <c r="BP178" s="239"/>
      <c r="BQ178" s="239"/>
      <c r="BR178" s="239"/>
      <c r="BS178" s="239"/>
      <c r="BT178" s="239"/>
      <c r="BU178" s="239"/>
      <c r="BV178" s="239"/>
      <c r="BW178" s="239"/>
      <c r="BX178" s="239"/>
      <c r="BY178" s="239"/>
      <c r="BZ178" s="239"/>
    </row>
    <row r="179" ht="16.8" customHeight="1" spans="1:78" x14ac:dyDescent="0.25">
      <c r="A179" s="239"/>
      <c r="B179" s="239"/>
      <c r="C179" s="239"/>
      <c r="D179" s="239"/>
      <c r="E179" s="239"/>
      <c r="F179" s="239"/>
      <c r="G179" s="239"/>
      <c r="H179" s="239"/>
      <c r="I179" s="239"/>
      <c r="J179" s="239"/>
      <c r="K179" s="239"/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  <c r="V179" s="239"/>
      <c r="W179" s="239"/>
      <c r="X179" s="239"/>
      <c r="Y179" s="239"/>
      <c r="Z179" s="239"/>
      <c r="AA179" s="239"/>
      <c r="AB179" s="239"/>
      <c r="AC179" s="239"/>
      <c r="AD179" s="239"/>
      <c r="AE179" s="239"/>
      <c r="AF179" s="239"/>
      <c r="AG179" s="239"/>
      <c r="AH179" s="239"/>
      <c r="AI179" s="239"/>
      <c r="AJ179" s="239"/>
      <c r="AK179" s="239"/>
      <c r="AL179" s="239"/>
      <c r="AM179" s="239"/>
      <c r="AN179" s="239"/>
      <c r="AO179" s="239"/>
      <c r="AP179" s="239"/>
      <c r="AQ179" s="239"/>
      <c r="AR179" s="239"/>
      <c r="AS179" s="239"/>
      <c r="AT179" s="239"/>
      <c r="AU179" s="239"/>
      <c r="AV179" s="239"/>
      <c r="AW179" s="239"/>
      <c r="AX179" s="239"/>
      <c r="AY179" s="239"/>
      <c r="AZ179" s="239"/>
      <c r="BA179" s="239"/>
      <c r="BB179" s="239"/>
      <c r="BC179" s="239"/>
      <c r="BD179" s="239"/>
      <c r="BE179" s="239"/>
      <c r="BF179" s="239"/>
      <c r="BG179" s="239"/>
      <c r="BH179" s="239"/>
      <c r="BI179" s="239"/>
      <c r="BJ179" s="239"/>
      <c r="BK179" s="239"/>
      <c r="BL179" s="239"/>
      <c r="BM179" s="239"/>
      <c r="BN179" s="239"/>
      <c r="BO179" s="239"/>
      <c r="BP179" s="239"/>
      <c r="BQ179" s="239"/>
      <c r="BR179" s="239"/>
      <c r="BS179" s="239"/>
      <c r="BT179" s="239"/>
      <c r="BU179" s="239"/>
      <c r="BV179" s="239"/>
      <c r="BW179" s="239"/>
      <c r="BX179" s="239"/>
      <c r="BY179" s="239"/>
      <c r="BZ179" s="239"/>
    </row>
    <row r="180" ht="16.8" customHeight="1" spans="1:78" x14ac:dyDescent="0.25">
      <c r="A180" s="239"/>
      <c r="B180" s="239"/>
      <c r="C180" s="239"/>
      <c r="D180" s="239"/>
      <c r="E180" s="239"/>
      <c r="F180" s="239"/>
      <c r="G180" s="239"/>
      <c r="H180" s="239"/>
      <c r="I180" s="239"/>
      <c r="J180" s="239"/>
      <c r="K180" s="239"/>
      <c r="L180" s="239"/>
      <c r="M180" s="239"/>
      <c r="N180" s="239"/>
      <c r="O180" s="239"/>
      <c r="P180" s="239"/>
      <c r="Q180" s="239"/>
      <c r="R180" s="239"/>
      <c r="S180" s="239"/>
      <c r="T180" s="239"/>
      <c r="U180" s="239"/>
      <c r="V180" s="239"/>
      <c r="W180" s="239"/>
      <c r="X180" s="239"/>
      <c r="Y180" s="239"/>
      <c r="Z180" s="239"/>
      <c r="AA180" s="239"/>
      <c r="AB180" s="239"/>
      <c r="AC180" s="239"/>
      <c r="AD180" s="239"/>
      <c r="AE180" s="239"/>
      <c r="AF180" s="239"/>
      <c r="AG180" s="239"/>
      <c r="AH180" s="239"/>
      <c r="AI180" s="239"/>
      <c r="AJ180" s="239"/>
      <c r="AK180" s="239"/>
      <c r="AL180" s="239"/>
      <c r="AM180" s="239"/>
      <c r="AN180" s="239"/>
      <c r="AO180" s="239"/>
      <c r="AP180" s="239"/>
      <c r="AQ180" s="239"/>
      <c r="AR180" s="239"/>
      <c r="AS180" s="239"/>
      <c r="AT180" s="239"/>
      <c r="AU180" s="239"/>
      <c r="AV180" s="239"/>
      <c r="AW180" s="239"/>
      <c r="AX180" s="239"/>
      <c r="AY180" s="239"/>
      <c r="AZ180" s="239"/>
      <c r="BA180" s="239"/>
      <c r="BB180" s="239"/>
      <c r="BC180" s="239"/>
      <c r="BD180" s="239"/>
      <c r="BE180" s="239"/>
      <c r="BF180" s="239"/>
      <c r="BG180" s="239"/>
      <c r="BH180" s="239"/>
      <c r="BI180" s="239"/>
      <c r="BJ180" s="239"/>
      <c r="BK180" s="239"/>
      <c r="BL180" s="239"/>
      <c r="BM180" s="239"/>
      <c r="BN180" s="239"/>
      <c r="BO180" s="239"/>
      <c r="BP180" s="239"/>
      <c r="BQ180" s="239"/>
      <c r="BR180" s="239"/>
      <c r="BS180" s="239"/>
      <c r="BT180" s="239"/>
      <c r="BU180" s="239"/>
      <c r="BV180" s="239"/>
      <c r="BW180" s="239"/>
      <c r="BX180" s="239"/>
      <c r="BY180" s="239"/>
      <c r="BZ180" s="239"/>
    </row>
    <row r="181" ht="16.8" customHeight="1" spans="1:78" x14ac:dyDescent="0.25">
      <c r="A181" s="239"/>
      <c r="B181" s="239"/>
      <c r="C181" s="239"/>
      <c r="D181" s="239"/>
      <c r="E181" s="239"/>
      <c r="F181" s="239"/>
      <c r="G181" s="239"/>
      <c r="H181" s="239"/>
      <c r="I181" s="239"/>
      <c r="J181" s="239"/>
      <c r="K181" s="239"/>
      <c r="L181" s="239"/>
      <c r="M181" s="239"/>
      <c r="N181" s="239"/>
      <c r="O181" s="239"/>
      <c r="P181" s="239"/>
      <c r="Q181" s="239"/>
      <c r="R181" s="239"/>
      <c r="S181" s="239"/>
      <c r="T181" s="239"/>
      <c r="U181" s="239"/>
      <c r="V181" s="239"/>
      <c r="W181" s="239"/>
      <c r="X181" s="239"/>
      <c r="Y181" s="239"/>
      <c r="Z181" s="239"/>
      <c r="AA181" s="239"/>
      <c r="AB181" s="239"/>
      <c r="AC181" s="239"/>
      <c r="AD181" s="239"/>
      <c r="AE181" s="239"/>
      <c r="AF181" s="239"/>
      <c r="AG181" s="239"/>
      <c r="AH181" s="239"/>
      <c r="AI181" s="239"/>
      <c r="AJ181" s="239"/>
      <c r="AK181" s="239"/>
      <c r="AL181" s="239"/>
      <c r="AM181" s="239"/>
      <c r="AN181" s="239"/>
      <c r="AO181" s="239"/>
      <c r="AP181" s="239"/>
      <c r="AQ181" s="239"/>
      <c r="AR181" s="239"/>
      <c r="AS181" s="239"/>
      <c r="AT181" s="239"/>
      <c r="AU181" s="239"/>
      <c r="AV181" s="239"/>
      <c r="AW181" s="239"/>
      <c r="AX181" s="239"/>
      <c r="AY181" s="239"/>
      <c r="AZ181" s="239"/>
      <c r="BA181" s="239"/>
      <c r="BB181" s="239"/>
      <c r="BC181" s="239"/>
      <c r="BD181" s="239"/>
      <c r="BE181" s="239"/>
      <c r="BF181" s="239"/>
      <c r="BG181" s="239"/>
      <c r="BH181" s="239"/>
      <c r="BI181" s="239"/>
      <c r="BJ181" s="239"/>
      <c r="BK181" s="239"/>
      <c r="BL181" s="239"/>
      <c r="BM181" s="239"/>
      <c r="BN181" s="239"/>
      <c r="BO181" s="239"/>
      <c r="BP181" s="239"/>
      <c r="BQ181" s="239"/>
      <c r="BR181" s="239"/>
      <c r="BS181" s="239"/>
      <c r="BT181" s="239"/>
      <c r="BU181" s="239"/>
      <c r="BV181" s="239"/>
      <c r="BW181" s="239"/>
      <c r="BX181" s="239"/>
      <c r="BY181" s="239"/>
      <c r="BZ181" s="239"/>
    </row>
    <row r="182" ht="16.8" customHeight="1" spans="1:78" x14ac:dyDescent="0.25">
      <c r="A182" s="239"/>
      <c r="B182" s="239"/>
      <c r="C182" s="239"/>
      <c r="D182" s="239"/>
      <c r="E182" s="239"/>
      <c r="F182" s="239"/>
      <c r="G182" s="239"/>
      <c r="H182" s="239"/>
      <c r="I182" s="239"/>
      <c r="J182" s="239"/>
      <c r="K182" s="239"/>
      <c r="L182" s="239"/>
      <c r="M182" s="239"/>
      <c r="N182" s="239"/>
      <c r="O182" s="239"/>
      <c r="P182" s="239"/>
      <c r="Q182" s="239"/>
      <c r="R182" s="239"/>
      <c r="S182" s="239"/>
      <c r="T182" s="239"/>
      <c r="U182" s="239"/>
      <c r="V182" s="239"/>
      <c r="W182" s="239"/>
      <c r="X182" s="239"/>
      <c r="Y182" s="239"/>
      <c r="Z182" s="239"/>
      <c r="AA182" s="239"/>
      <c r="AB182" s="239"/>
      <c r="AC182" s="239"/>
      <c r="AD182" s="239"/>
      <c r="AE182" s="239"/>
      <c r="AF182" s="239"/>
      <c r="AG182" s="239"/>
      <c r="AH182" s="239"/>
      <c r="AI182" s="239"/>
      <c r="AJ182" s="239"/>
      <c r="AK182" s="239"/>
      <c r="AL182" s="239"/>
      <c r="AM182" s="239"/>
      <c r="AN182" s="239"/>
      <c r="AO182" s="239"/>
      <c r="AP182" s="239"/>
      <c r="AQ182" s="239"/>
      <c r="AR182" s="239"/>
      <c r="AS182" s="239"/>
      <c r="AT182" s="239"/>
      <c r="AU182" s="239"/>
      <c r="AV182" s="239"/>
      <c r="AW182" s="239"/>
      <c r="AX182" s="239"/>
      <c r="AY182" s="239"/>
      <c r="AZ182" s="239"/>
      <c r="BA182" s="239"/>
      <c r="BB182" s="239"/>
      <c r="BC182" s="239"/>
      <c r="BD182" s="239"/>
      <c r="BE182" s="239"/>
      <c r="BF182" s="239"/>
      <c r="BG182" s="239"/>
      <c r="BH182" s="239"/>
      <c r="BI182" s="239"/>
      <c r="BJ182" s="239"/>
      <c r="BK182" s="239"/>
      <c r="BL182" s="239"/>
      <c r="BM182" s="239"/>
      <c r="BN182" s="239"/>
      <c r="BO182" s="239"/>
      <c r="BP182" s="239"/>
      <c r="BQ182" s="239"/>
      <c r="BR182" s="239"/>
      <c r="BS182" s="239"/>
      <c r="BT182" s="239"/>
      <c r="BU182" s="239"/>
      <c r="BV182" s="239"/>
      <c r="BW182" s="239"/>
      <c r="BX182" s="239"/>
      <c r="BY182" s="239"/>
      <c r="BZ182" s="239"/>
    </row>
    <row r="183" ht="16.8" customHeight="1" spans="1:78" x14ac:dyDescent="0.25">
      <c r="A183" s="239"/>
      <c r="B183" s="239"/>
      <c r="C183" s="239"/>
      <c r="D183" s="239"/>
      <c r="E183" s="239"/>
      <c r="F183" s="239"/>
      <c r="G183" s="239"/>
      <c r="H183" s="239"/>
      <c r="I183" s="239"/>
      <c r="J183" s="239"/>
      <c r="K183" s="239"/>
      <c r="L183" s="239"/>
      <c r="M183" s="239"/>
      <c r="N183" s="239"/>
      <c r="O183" s="239"/>
      <c r="P183" s="239"/>
      <c r="Q183" s="239"/>
      <c r="R183" s="239"/>
      <c r="S183" s="239"/>
      <c r="T183" s="239"/>
      <c r="U183" s="239"/>
      <c r="V183" s="239"/>
      <c r="W183" s="239"/>
      <c r="X183" s="239"/>
      <c r="Y183" s="239"/>
      <c r="Z183" s="239"/>
      <c r="AA183" s="239"/>
      <c r="AB183" s="239"/>
      <c r="AC183" s="239"/>
      <c r="AD183" s="239"/>
      <c r="AE183" s="239"/>
      <c r="AF183" s="239"/>
      <c r="AG183" s="239"/>
      <c r="AH183" s="239"/>
      <c r="AI183" s="239"/>
      <c r="AJ183" s="239"/>
      <c r="AK183" s="239"/>
      <c r="AL183" s="239"/>
      <c r="AM183" s="239"/>
      <c r="AN183" s="239"/>
      <c r="AO183" s="239"/>
      <c r="AP183" s="239"/>
      <c r="AQ183" s="239"/>
      <c r="AR183" s="239"/>
      <c r="AS183" s="239"/>
      <c r="AT183" s="239"/>
      <c r="AU183" s="239"/>
      <c r="AV183" s="239"/>
      <c r="AW183" s="239"/>
      <c r="AX183" s="239"/>
      <c r="AY183" s="239"/>
      <c r="AZ183" s="239"/>
      <c r="BA183" s="239"/>
      <c r="BB183" s="239"/>
      <c r="BC183" s="239"/>
      <c r="BD183" s="239"/>
      <c r="BE183" s="239"/>
      <c r="BF183" s="239"/>
      <c r="BG183" s="239"/>
      <c r="BH183" s="239"/>
      <c r="BI183" s="239"/>
      <c r="BJ183" s="239"/>
      <c r="BK183" s="239"/>
      <c r="BL183" s="239"/>
      <c r="BM183" s="239"/>
      <c r="BN183" s="239"/>
      <c r="BO183" s="239"/>
      <c r="BP183" s="239"/>
      <c r="BQ183" s="239"/>
      <c r="BR183" s="239"/>
      <c r="BS183" s="239"/>
      <c r="BT183" s="239"/>
      <c r="BU183" s="239"/>
      <c r="BV183" s="239"/>
      <c r="BW183" s="239"/>
      <c r="BX183" s="239"/>
      <c r="BY183" s="239"/>
      <c r="BZ183" s="239"/>
    </row>
    <row r="184" ht="16.8" customHeight="1" spans="1:78" x14ac:dyDescent="0.25">
      <c r="A184" s="239"/>
      <c r="B184" s="239"/>
      <c r="C184" s="239"/>
      <c r="D184" s="239"/>
      <c r="E184" s="239"/>
      <c r="F184" s="239"/>
      <c r="G184" s="239"/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239"/>
      <c r="S184" s="239"/>
      <c r="T184" s="239"/>
      <c r="U184" s="239"/>
      <c r="V184" s="239"/>
      <c r="W184" s="239"/>
      <c r="X184" s="239"/>
      <c r="Y184" s="239"/>
      <c r="Z184" s="239"/>
      <c r="AA184" s="239"/>
      <c r="AB184" s="239"/>
      <c r="AC184" s="239"/>
      <c r="AD184" s="239"/>
      <c r="AE184" s="239"/>
      <c r="AF184" s="239"/>
      <c r="AG184" s="239"/>
      <c r="AH184" s="239"/>
      <c r="AI184" s="239"/>
      <c r="AJ184" s="239"/>
      <c r="AK184" s="239"/>
      <c r="AL184" s="239"/>
      <c r="AM184" s="239"/>
      <c r="AN184" s="239"/>
      <c r="AO184" s="239"/>
      <c r="AP184" s="239"/>
      <c r="AQ184" s="239"/>
      <c r="AR184" s="239"/>
      <c r="AS184" s="239"/>
      <c r="AT184" s="239"/>
      <c r="AU184" s="239"/>
      <c r="AV184" s="239"/>
      <c r="AW184" s="239"/>
      <c r="AX184" s="239"/>
      <c r="AY184" s="239"/>
      <c r="AZ184" s="239"/>
      <c r="BA184" s="239"/>
      <c r="BB184" s="239"/>
      <c r="BC184" s="239"/>
      <c r="BD184" s="239"/>
      <c r="BE184" s="239"/>
      <c r="BF184" s="239"/>
      <c r="BG184" s="239"/>
      <c r="BH184" s="239"/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39"/>
      <c r="BS184" s="239"/>
      <c r="BT184" s="239"/>
      <c r="BU184" s="239"/>
      <c r="BV184" s="239"/>
      <c r="BW184" s="239"/>
      <c r="BX184" s="239"/>
      <c r="BY184" s="239"/>
      <c r="BZ184" s="239"/>
    </row>
    <row r="185" ht="16.8" customHeight="1" spans="1:78" x14ac:dyDescent="0.25">
      <c r="A185" s="239"/>
      <c r="B185" s="239"/>
      <c r="C185" s="239"/>
      <c r="D185" s="239"/>
      <c r="E185" s="239"/>
      <c r="F185" s="239"/>
      <c r="G185" s="239"/>
      <c r="H185" s="239"/>
      <c r="I185" s="239"/>
      <c r="J185" s="239"/>
      <c r="K185" s="239"/>
      <c r="L185" s="239"/>
      <c r="M185" s="239"/>
      <c r="N185" s="239"/>
      <c r="O185" s="239"/>
      <c r="P185" s="239"/>
      <c r="Q185" s="239"/>
      <c r="R185" s="239"/>
      <c r="S185" s="239"/>
      <c r="T185" s="239"/>
      <c r="U185" s="239"/>
      <c r="V185" s="239"/>
      <c r="W185" s="239"/>
      <c r="X185" s="239"/>
      <c r="Y185" s="239"/>
      <c r="Z185" s="239"/>
      <c r="AA185" s="239"/>
      <c r="AB185" s="239"/>
      <c r="AC185" s="239"/>
      <c r="AD185" s="239"/>
      <c r="AE185" s="239"/>
      <c r="AF185" s="239"/>
      <c r="AG185" s="239"/>
      <c r="AH185" s="239"/>
      <c r="AI185" s="239"/>
      <c r="AJ185" s="239"/>
      <c r="AK185" s="239"/>
      <c r="AL185" s="239"/>
      <c r="AM185" s="239"/>
      <c r="AN185" s="239"/>
      <c r="AO185" s="239"/>
      <c r="AP185" s="239"/>
      <c r="AQ185" s="239"/>
      <c r="AR185" s="239"/>
      <c r="AS185" s="239"/>
      <c r="AT185" s="239"/>
      <c r="AU185" s="239"/>
      <c r="AV185" s="239"/>
      <c r="AW185" s="239"/>
      <c r="AX185" s="239"/>
      <c r="AY185" s="239"/>
      <c r="AZ185" s="239"/>
      <c r="BA185" s="239"/>
      <c r="BB185" s="239"/>
      <c r="BC185" s="239"/>
      <c r="BD185" s="239"/>
      <c r="BE185" s="239"/>
      <c r="BF185" s="239"/>
      <c r="BG185" s="239"/>
      <c r="BH185" s="239"/>
      <c r="BI185" s="239"/>
      <c r="BJ185" s="239"/>
      <c r="BK185" s="239"/>
      <c r="BL185" s="239"/>
      <c r="BM185" s="239"/>
      <c r="BN185" s="239"/>
      <c r="BO185" s="239"/>
      <c r="BP185" s="239"/>
      <c r="BQ185" s="239"/>
      <c r="BR185" s="239"/>
      <c r="BS185" s="239"/>
      <c r="BT185" s="239"/>
      <c r="BU185" s="239"/>
      <c r="BV185" s="239"/>
      <c r="BW185" s="239"/>
      <c r="BX185" s="239"/>
      <c r="BY185" s="239"/>
      <c r="BZ185" s="239"/>
    </row>
    <row r="186" ht="16.8" customHeight="1" spans="1:78" x14ac:dyDescent="0.25">
      <c r="A186" s="239"/>
      <c r="B186" s="239"/>
      <c r="C186" s="239"/>
      <c r="D186" s="239"/>
      <c r="E186" s="239"/>
      <c r="F186" s="239"/>
      <c r="G186" s="239"/>
      <c r="H186" s="239"/>
      <c r="I186" s="239"/>
      <c r="J186" s="239"/>
      <c r="K186" s="239"/>
      <c r="L186" s="239"/>
      <c r="M186" s="239"/>
      <c r="N186" s="239"/>
      <c r="O186" s="239"/>
      <c r="P186" s="239"/>
      <c r="Q186" s="239"/>
      <c r="R186" s="239"/>
      <c r="S186" s="239"/>
      <c r="T186" s="239"/>
      <c r="U186" s="239"/>
      <c r="V186" s="239"/>
      <c r="W186" s="239"/>
      <c r="X186" s="239"/>
      <c r="Y186" s="239"/>
      <c r="Z186" s="239"/>
      <c r="AA186" s="239"/>
      <c r="AB186" s="239"/>
      <c r="AC186" s="239"/>
      <c r="AD186" s="239"/>
      <c r="AE186" s="239"/>
      <c r="AF186" s="239"/>
      <c r="AG186" s="239"/>
      <c r="AH186" s="239"/>
      <c r="AI186" s="239"/>
      <c r="AJ186" s="239"/>
      <c r="AK186" s="239"/>
      <c r="AL186" s="239"/>
      <c r="AM186" s="239"/>
      <c r="AN186" s="239"/>
      <c r="AO186" s="239"/>
      <c r="AP186" s="239"/>
      <c r="AQ186" s="239"/>
      <c r="AR186" s="239"/>
      <c r="AS186" s="239"/>
      <c r="AT186" s="239"/>
      <c r="AU186" s="239"/>
      <c r="AV186" s="239"/>
      <c r="AW186" s="239"/>
      <c r="AX186" s="239"/>
      <c r="AY186" s="239"/>
      <c r="AZ186" s="239"/>
      <c r="BA186" s="239"/>
      <c r="BB186" s="239"/>
      <c r="BC186" s="239"/>
      <c r="BD186" s="239"/>
      <c r="BE186" s="239"/>
      <c r="BF186" s="239"/>
      <c r="BG186" s="239"/>
      <c r="BH186" s="239"/>
      <c r="BI186" s="239"/>
      <c r="BJ186" s="239"/>
      <c r="BK186" s="239"/>
      <c r="BL186" s="239"/>
      <c r="BM186" s="239"/>
      <c r="BN186" s="239"/>
      <c r="BO186" s="239"/>
      <c r="BP186" s="239"/>
      <c r="BQ186" s="239"/>
      <c r="BR186" s="239"/>
      <c r="BS186" s="239"/>
      <c r="BT186" s="239"/>
      <c r="BU186" s="239"/>
      <c r="BV186" s="239"/>
      <c r="BW186" s="239"/>
      <c r="BX186" s="239"/>
      <c r="BY186" s="239"/>
      <c r="BZ186" s="239"/>
    </row>
    <row r="187" ht="16.8" customHeight="1" spans="1:78" x14ac:dyDescent="0.25">
      <c r="A187" s="239"/>
      <c r="B187" s="239"/>
      <c r="C187" s="239"/>
      <c r="D187" s="239"/>
      <c r="E187" s="239"/>
      <c r="F187" s="239"/>
      <c r="G187" s="239"/>
      <c r="H187" s="239"/>
      <c r="I187" s="239"/>
      <c r="J187" s="239"/>
      <c r="K187" s="239"/>
      <c r="L187" s="239"/>
      <c r="M187" s="239"/>
      <c r="N187" s="239"/>
      <c r="O187" s="239"/>
      <c r="P187" s="239"/>
      <c r="Q187" s="239"/>
      <c r="R187" s="239"/>
      <c r="S187" s="239"/>
      <c r="T187" s="239"/>
      <c r="U187" s="239"/>
      <c r="V187" s="239"/>
      <c r="W187" s="239"/>
      <c r="X187" s="239"/>
      <c r="Y187" s="239"/>
      <c r="Z187" s="239"/>
      <c r="AA187" s="239"/>
      <c r="AB187" s="239"/>
      <c r="AC187" s="239"/>
      <c r="AD187" s="239"/>
      <c r="AE187" s="239"/>
      <c r="AF187" s="239"/>
      <c r="AG187" s="239"/>
      <c r="AH187" s="239"/>
      <c r="AI187" s="239"/>
      <c r="AJ187" s="239"/>
      <c r="AK187" s="239"/>
      <c r="AL187" s="239"/>
      <c r="AM187" s="239"/>
      <c r="AN187" s="239"/>
      <c r="AO187" s="239"/>
      <c r="AP187" s="239"/>
      <c r="AQ187" s="239"/>
      <c r="AR187" s="239"/>
      <c r="AS187" s="239"/>
      <c r="AT187" s="239"/>
      <c r="AU187" s="239"/>
      <c r="AV187" s="239"/>
      <c r="AW187" s="239"/>
      <c r="AX187" s="239"/>
      <c r="AY187" s="239"/>
      <c r="AZ187" s="239"/>
      <c r="BA187" s="239"/>
      <c r="BB187" s="239"/>
      <c r="BC187" s="239"/>
      <c r="BD187" s="239"/>
      <c r="BE187" s="239"/>
      <c r="BF187" s="239"/>
      <c r="BG187" s="239"/>
      <c r="BH187" s="239"/>
      <c r="BI187" s="239"/>
      <c r="BJ187" s="239"/>
      <c r="BK187" s="239"/>
      <c r="BL187" s="239"/>
      <c r="BM187" s="239"/>
      <c r="BN187" s="239"/>
      <c r="BO187" s="239"/>
      <c r="BP187" s="239"/>
      <c r="BQ187" s="239"/>
      <c r="BR187" s="239"/>
      <c r="BS187" s="239"/>
      <c r="BT187" s="239"/>
      <c r="BU187" s="239"/>
      <c r="BV187" s="239"/>
      <c r="BW187" s="239"/>
      <c r="BX187" s="239"/>
      <c r="BY187" s="239"/>
      <c r="BZ187" s="239"/>
    </row>
    <row r="188" ht="16.8" customHeight="1" spans="1:78" x14ac:dyDescent="0.25">
      <c r="A188" s="239"/>
      <c r="B188" s="239"/>
      <c r="C188" s="239"/>
      <c r="D188" s="239"/>
      <c r="E188" s="239"/>
      <c r="F188" s="239"/>
      <c r="G188" s="239"/>
      <c r="H188" s="239"/>
      <c r="I188" s="239"/>
      <c r="J188" s="239"/>
      <c r="K188" s="239"/>
      <c r="L188" s="239"/>
      <c r="M188" s="239"/>
      <c r="N188" s="239"/>
      <c r="O188" s="239"/>
      <c r="P188" s="239"/>
      <c r="Q188" s="239"/>
      <c r="R188" s="239"/>
      <c r="S188" s="239"/>
      <c r="T188" s="239"/>
      <c r="U188" s="239"/>
      <c r="V188" s="239"/>
      <c r="W188" s="239"/>
      <c r="X188" s="239"/>
      <c r="Y188" s="239"/>
      <c r="Z188" s="239"/>
      <c r="AA188" s="239"/>
      <c r="AB188" s="239"/>
      <c r="AC188" s="239"/>
      <c r="AD188" s="239"/>
      <c r="AE188" s="239"/>
      <c r="AF188" s="239"/>
      <c r="AG188" s="239"/>
      <c r="AH188" s="239"/>
      <c r="AI188" s="239"/>
      <c r="AJ188" s="239"/>
      <c r="AK188" s="239"/>
      <c r="AL188" s="239"/>
      <c r="AM188" s="239"/>
      <c r="AN188" s="239"/>
      <c r="AO188" s="239"/>
      <c r="AP188" s="239"/>
      <c r="AQ188" s="239"/>
      <c r="AR188" s="239"/>
      <c r="AS188" s="239"/>
      <c r="AT188" s="239"/>
      <c r="AU188" s="239"/>
      <c r="AV188" s="239"/>
      <c r="AW188" s="239"/>
      <c r="AX188" s="239"/>
      <c r="AY188" s="239"/>
      <c r="AZ188" s="239"/>
      <c r="BA188" s="239"/>
      <c r="BB188" s="239"/>
      <c r="BC188" s="239"/>
      <c r="BD188" s="239"/>
      <c r="BE188" s="239"/>
      <c r="BF188" s="239"/>
      <c r="BG188" s="239"/>
      <c r="BH188" s="239"/>
      <c r="BI188" s="239"/>
      <c r="BJ188" s="239"/>
      <c r="BK188" s="239"/>
      <c r="BL188" s="239"/>
      <c r="BM188" s="239"/>
      <c r="BN188" s="239"/>
      <c r="BO188" s="239"/>
      <c r="BP188" s="239"/>
      <c r="BQ188" s="239"/>
      <c r="BR188" s="239"/>
      <c r="BS188" s="239"/>
      <c r="BT188" s="239"/>
      <c r="BU188" s="239"/>
      <c r="BV188" s="239"/>
      <c r="BW188" s="239"/>
      <c r="BX188" s="239"/>
      <c r="BY188" s="239"/>
      <c r="BZ188" s="239"/>
    </row>
    <row r="189" ht="16.8" customHeight="1" spans="1:78" x14ac:dyDescent="0.25">
      <c r="A189" s="239"/>
      <c r="B189" s="239"/>
      <c r="C189" s="239"/>
      <c r="D189" s="239"/>
      <c r="E189" s="239"/>
      <c r="F189" s="239"/>
      <c r="G189" s="239"/>
      <c r="H189" s="239"/>
      <c r="I189" s="239"/>
      <c r="J189" s="239"/>
      <c r="K189" s="239"/>
      <c r="L189" s="239"/>
      <c r="M189" s="239"/>
      <c r="N189" s="239"/>
      <c r="O189" s="239"/>
      <c r="P189" s="239"/>
      <c r="Q189" s="239"/>
      <c r="R189" s="239"/>
      <c r="S189" s="239"/>
      <c r="T189" s="239"/>
      <c r="U189" s="239"/>
      <c r="V189" s="239"/>
      <c r="W189" s="239"/>
      <c r="X189" s="239"/>
      <c r="Y189" s="239"/>
      <c r="Z189" s="239"/>
      <c r="AA189" s="239"/>
      <c r="AB189" s="239"/>
      <c r="AC189" s="239"/>
      <c r="AD189" s="239"/>
      <c r="AE189" s="239"/>
      <c r="AF189" s="239"/>
      <c r="AG189" s="239"/>
      <c r="AH189" s="239"/>
      <c r="AI189" s="239"/>
      <c r="AJ189" s="239"/>
      <c r="AK189" s="239"/>
      <c r="AL189" s="239"/>
      <c r="AM189" s="239"/>
      <c r="AN189" s="239"/>
      <c r="AO189" s="239"/>
      <c r="AP189" s="239"/>
      <c r="AQ189" s="239"/>
      <c r="AR189" s="239"/>
      <c r="AS189" s="239"/>
      <c r="AT189" s="239"/>
      <c r="AU189" s="239"/>
      <c r="AV189" s="239"/>
      <c r="AW189" s="239"/>
      <c r="AX189" s="239"/>
      <c r="AY189" s="239"/>
      <c r="AZ189" s="239"/>
      <c r="BA189" s="239"/>
      <c r="BB189" s="239"/>
      <c r="BC189" s="239"/>
      <c r="BD189" s="239"/>
      <c r="BE189" s="239"/>
      <c r="BF189" s="239"/>
      <c r="BG189" s="239"/>
      <c r="BH189" s="239"/>
      <c r="BI189" s="239"/>
      <c r="BJ189" s="239"/>
      <c r="BK189" s="239"/>
      <c r="BL189" s="239"/>
      <c r="BM189" s="239"/>
      <c r="BN189" s="239"/>
      <c r="BO189" s="239"/>
      <c r="BP189" s="239"/>
      <c r="BQ189" s="239"/>
      <c r="BR189" s="239"/>
      <c r="BS189" s="239"/>
      <c r="BT189" s="239"/>
      <c r="BU189" s="239"/>
      <c r="BV189" s="239"/>
      <c r="BW189" s="239"/>
      <c r="BX189" s="239"/>
      <c r="BY189" s="239"/>
      <c r="BZ189" s="239"/>
    </row>
    <row r="190" ht="16.8" customHeight="1" spans="1:78" x14ac:dyDescent="0.25">
      <c r="A190" s="239"/>
      <c r="B190" s="239"/>
      <c r="C190" s="239"/>
      <c r="D190" s="239"/>
      <c r="E190" s="239"/>
      <c r="F190" s="239"/>
      <c r="G190" s="239"/>
      <c r="H190" s="239"/>
      <c r="I190" s="239"/>
      <c r="J190" s="239"/>
      <c r="K190" s="239"/>
      <c r="L190" s="239"/>
      <c r="M190" s="239"/>
      <c r="N190" s="239"/>
      <c r="O190" s="239"/>
      <c r="P190" s="239"/>
      <c r="Q190" s="239"/>
      <c r="R190" s="239"/>
      <c r="S190" s="239"/>
      <c r="T190" s="239"/>
      <c r="U190" s="239"/>
      <c r="V190" s="239"/>
      <c r="W190" s="239"/>
      <c r="X190" s="239"/>
      <c r="Y190" s="239"/>
      <c r="Z190" s="239"/>
      <c r="AA190" s="239"/>
      <c r="AB190" s="239"/>
      <c r="AC190" s="239"/>
      <c r="AD190" s="239"/>
      <c r="AE190" s="239"/>
      <c r="AF190" s="239"/>
      <c r="AG190" s="239"/>
      <c r="AH190" s="239"/>
      <c r="AI190" s="239"/>
      <c r="AJ190" s="239"/>
      <c r="AK190" s="239"/>
      <c r="AL190" s="239"/>
      <c r="AM190" s="239"/>
      <c r="AN190" s="239"/>
      <c r="AO190" s="239"/>
      <c r="AP190" s="239"/>
      <c r="AQ190" s="239"/>
      <c r="AR190" s="239"/>
      <c r="AS190" s="239"/>
      <c r="AT190" s="239"/>
      <c r="AU190" s="239"/>
      <c r="AV190" s="239"/>
      <c r="AW190" s="239"/>
      <c r="AX190" s="239"/>
      <c r="AY190" s="239"/>
      <c r="AZ190" s="239"/>
      <c r="BA190" s="239"/>
      <c r="BB190" s="239"/>
      <c r="BC190" s="239"/>
      <c r="BD190" s="239"/>
      <c r="BE190" s="239"/>
      <c r="BF190" s="239"/>
      <c r="BG190" s="239"/>
      <c r="BH190" s="239"/>
      <c r="BI190" s="239"/>
      <c r="BJ190" s="239"/>
      <c r="BK190" s="239"/>
      <c r="BL190" s="239"/>
      <c r="BM190" s="239"/>
      <c r="BN190" s="239"/>
      <c r="BO190" s="239"/>
      <c r="BP190" s="239"/>
      <c r="BQ190" s="239"/>
      <c r="BR190" s="239"/>
      <c r="BS190" s="239"/>
      <c r="BT190" s="239"/>
      <c r="BU190" s="239"/>
      <c r="BV190" s="239"/>
      <c r="BW190" s="239"/>
      <c r="BX190" s="239"/>
      <c r="BY190" s="239"/>
      <c r="BZ190" s="239"/>
    </row>
    <row r="191" ht="16.8" customHeight="1" spans="1:78" x14ac:dyDescent="0.25">
      <c r="A191" s="239"/>
      <c r="B191" s="239"/>
      <c r="C191" s="239"/>
      <c r="D191" s="239"/>
      <c r="E191" s="239"/>
      <c r="F191" s="239"/>
      <c r="G191" s="239"/>
      <c r="H191" s="239"/>
      <c r="I191" s="239"/>
      <c r="J191" s="239"/>
      <c r="K191" s="239"/>
      <c r="L191" s="239"/>
      <c r="M191" s="239"/>
      <c r="N191" s="239"/>
      <c r="O191" s="239"/>
      <c r="P191" s="239"/>
      <c r="Q191" s="239"/>
      <c r="R191" s="239"/>
      <c r="S191" s="239"/>
      <c r="T191" s="239"/>
      <c r="U191" s="239"/>
      <c r="V191" s="239"/>
      <c r="W191" s="239"/>
      <c r="X191" s="239"/>
      <c r="Y191" s="239"/>
      <c r="Z191" s="239"/>
      <c r="AA191" s="239"/>
      <c r="AB191" s="239"/>
      <c r="AC191" s="239"/>
      <c r="AD191" s="239"/>
      <c r="AE191" s="239"/>
      <c r="AF191" s="239"/>
      <c r="AG191" s="239"/>
      <c r="AH191" s="239"/>
      <c r="AI191" s="239"/>
      <c r="AJ191" s="239"/>
      <c r="AK191" s="239"/>
      <c r="AL191" s="239"/>
      <c r="AM191" s="239"/>
      <c r="AN191" s="239"/>
      <c r="AO191" s="239"/>
      <c r="AP191" s="239"/>
      <c r="AQ191" s="239"/>
      <c r="AR191" s="239"/>
      <c r="AS191" s="239"/>
      <c r="AT191" s="239"/>
      <c r="AU191" s="239"/>
      <c r="AV191" s="239"/>
      <c r="AW191" s="239"/>
      <c r="AX191" s="239"/>
      <c r="AY191" s="239"/>
      <c r="AZ191" s="239"/>
      <c r="BA191" s="239"/>
      <c r="BB191" s="239"/>
      <c r="BC191" s="239"/>
      <c r="BD191" s="239"/>
      <c r="BE191" s="239"/>
      <c r="BF191" s="239"/>
      <c r="BG191" s="239"/>
      <c r="BH191" s="239"/>
      <c r="BI191" s="239"/>
      <c r="BJ191" s="239"/>
      <c r="BK191" s="239"/>
      <c r="BL191" s="239"/>
      <c r="BM191" s="239"/>
      <c r="BN191" s="239"/>
      <c r="BO191" s="239"/>
      <c r="BP191" s="239"/>
      <c r="BQ191" s="239"/>
      <c r="BR191" s="239"/>
      <c r="BS191" s="239"/>
      <c r="BT191" s="239"/>
      <c r="BU191" s="239"/>
      <c r="BV191" s="239"/>
      <c r="BW191" s="239"/>
      <c r="BX191" s="239"/>
      <c r="BY191" s="239"/>
      <c r="BZ191" s="239"/>
    </row>
    <row r="192" ht="16.8" customHeight="1" spans="1:78" x14ac:dyDescent="0.25">
      <c r="A192" s="239"/>
      <c r="B192" s="239"/>
      <c r="C192" s="239"/>
      <c r="D192" s="239"/>
      <c r="E192" s="239"/>
      <c r="F192" s="239"/>
      <c r="G192" s="239"/>
      <c r="H192" s="239"/>
      <c r="I192" s="239"/>
      <c r="J192" s="239"/>
      <c r="K192" s="239"/>
      <c r="L192" s="239"/>
      <c r="M192" s="239"/>
      <c r="N192" s="239"/>
      <c r="O192" s="239"/>
      <c r="P192" s="239"/>
      <c r="Q192" s="239"/>
      <c r="R192" s="239"/>
      <c r="S192" s="239"/>
      <c r="T192" s="239"/>
      <c r="U192" s="239"/>
      <c r="V192" s="239"/>
      <c r="W192" s="239"/>
      <c r="X192" s="239"/>
      <c r="Y192" s="239"/>
      <c r="Z192" s="239"/>
      <c r="AA192" s="239"/>
      <c r="AB192" s="239"/>
      <c r="AC192" s="239"/>
      <c r="AD192" s="239"/>
      <c r="AE192" s="239"/>
      <c r="AF192" s="239"/>
      <c r="AG192" s="239"/>
      <c r="AH192" s="239"/>
      <c r="AI192" s="239"/>
      <c r="AJ192" s="239"/>
      <c r="AK192" s="239"/>
      <c r="AL192" s="239"/>
      <c r="AM192" s="239"/>
      <c r="AN192" s="239"/>
      <c r="AO192" s="239"/>
      <c r="AP192" s="239"/>
      <c r="AQ192" s="239"/>
      <c r="AR192" s="239"/>
      <c r="AS192" s="239"/>
      <c r="AT192" s="239"/>
      <c r="AU192" s="239"/>
      <c r="AV192" s="239"/>
      <c r="AW192" s="239"/>
      <c r="AX192" s="239"/>
      <c r="AY192" s="239"/>
      <c r="AZ192" s="239"/>
      <c r="BA192" s="239"/>
      <c r="BB192" s="239"/>
      <c r="BC192" s="239"/>
      <c r="BD192" s="239"/>
      <c r="BE192" s="239"/>
      <c r="BF192" s="239"/>
      <c r="BG192" s="239"/>
      <c r="BH192" s="239"/>
      <c r="BI192" s="239"/>
      <c r="BJ192" s="239"/>
      <c r="BK192" s="239"/>
      <c r="BL192" s="239"/>
      <c r="BM192" s="239"/>
      <c r="BN192" s="239"/>
      <c r="BO192" s="239"/>
      <c r="BP192" s="239"/>
      <c r="BQ192" s="239"/>
      <c r="BR192" s="239"/>
      <c r="BS192" s="239"/>
      <c r="BT192" s="239"/>
      <c r="BU192" s="239"/>
      <c r="BV192" s="239"/>
      <c r="BW192" s="239"/>
      <c r="BX192" s="239"/>
      <c r="BY192" s="239"/>
      <c r="BZ192" s="239"/>
    </row>
    <row r="193" ht="16.8" customHeight="1" spans="1:78" x14ac:dyDescent="0.25">
      <c r="A193" s="239"/>
      <c r="B193" s="239"/>
      <c r="C193" s="239"/>
      <c r="D193" s="239"/>
      <c r="E193" s="239"/>
      <c r="F193" s="239"/>
      <c r="G193" s="239"/>
      <c r="H193" s="239"/>
      <c r="I193" s="239"/>
      <c r="J193" s="239"/>
      <c r="K193" s="239"/>
      <c r="L193" s="239"/>
      <c r="M193" s="239"/>
      <c r="N193" s="239"/>
      <c r="O193" s="239"/>
      <c r="P193" s="239"/>
      <c r="Q193" s="239"/>
      <c r="R193" s="239"/>
      <c r="S193" s="239"/>
      <c r="T193" s="239"/>
      <c r="U193" s="239"/>
      <c r="V193" s="239"/>
      <c r="W193" s="239"/>
      <c r="X193" s="239"/>
      <c r="Y193" s="239"/>
      <c r="Z193" s="239"/>
      <c r="AA193" s="239"/>
      <c r="AB193" s="239"/>
      <c r="AC193" s="239"/>
      <c r="AD193" s="239"/>
      <c r="AE193" s="239"/>
      <c r="AF193" s="239"/>
      <c r="AG193" s="239"/>
      <c r="AH193" s="239"/>
      <c r="AI193" s="239"/>
      <c r="AJ193" s="239"/>
      <c r="AK193" s="239"/>
      <c r="AL193" s="239"/>
      <c r="AM193" s="239"/>
      <c r="AN193" s="239"/>
      <c r="AO193" s="239"/>
      <c r="AP193" s="239"/>
      <c r="AQ193" s="239"/>
      <c r="AR193" s="239"/>
      <c r="AS193" s="239"/>
      <c r="AT193" s="239"/>
      <c r="AU193" s="239"/>
      <c r="AV193" s="239"/>
      <c r="AW193" s="239"/>
      <c r="AX193" s="239"/>
      <c r="AY193" s="239"/>
      <c r="AZ193" s="239"/>
      <c r="BA193" s="239"/>
      <c r="BB193" s="239"/>
      <c r="BC193" s="239"/>
      <c r="BD193" s="239"/>
      <c r="BE193" s="239"/>
      <c r="BF193" s="239"/>
      <c r="BG193" s="239"/>
      <c r="BH193" s="239"/>
      <c r="BI193" s="239"/>
      <c r="BJ193" s="239"/>
      <c r="BK193" s="239"/>
      <c r="BL193" s="239"/>
      <c r="BM193" s="239"/>
      <c r="BN193" s="239"/>
      <c r="BO193" s="239"/>
      <c r="BP193" s="239"/>
      <c r="BQ193" s="239"/>
      <c r="BR193" s="239"/>
      <c r="BS193" s="239"/>
      <c r="BT193" s="239"/>
      <c r="BU193" s="239"/>
      <c r="BV193" s="239"/>
      <c r="BW193" s="239"/>
      <c r="BX193" s="239"/>
      <c r="BY193" s="239"/>
      <c r="BZ193" s="239"/>
    </row>
    <row r="194" ht="16.8" customHeight="1" spans="1:78" x14ac:dyDescent="0.25">
      <c r="A194" s="239"/>
      <c r="B194" s="239"/>
      <c r="C194" s="239"/>
      <c r="D194" s="239"/>
      <c r="E194" s="239"/>
      <c r="F194" s="239"/>
      <c r="G194" s="239"/>
      <c r="H194" s="239"/>
      <c r="I194" s="239"/>
      <c r="J194" s="239"/>
      <c r="K194" s="239"/>
      <c r="L194" s="239"/>
      <c r="M194" s="239"/>
      <c r="N194" s="239"/>
      <c r="O194" s="239"/>
      <c r="P194" s="239"/>
      <c r="Q194" s="239"/>
      <c r="R194" s="239"/>
      <c r="S194" s="239"/>
      <c r="T194" s="239"/>
      <c r="U194" s="239"/>
      <c r="V194" s="239"/>
      <c r="W194" s="239"/>
      <c r="X194" s="239"/>
      <c r="Y194" s="239"/>
      <c r="Z194" s="239"/>
      <c r="AA194" s="239"/>
      <c r="AB194" s="239"/>
      <c r="AC194" s="239"/>
      <c r="AD194" s="239"/>
      <c r="AE194" s="239"/>
      <c r="AF194" s="239"/>
      <c r="AG194" s="239"/>
      <c r="AH194" s="239"/>
      <c r="AI194" s="239"/>
      <c r="AJ194" s="239"/>
      <c r="AK194" s="239"/>
      <c r="AL194" s="239"/>
      <c r="AM194" s="239"/>
      <c r="AN194" s="239"/>
      <c r="AO194" s="239"/>
      <c r="AP194" s="239"/>
      <c r="AQ194" s="239"/>
      <c r="AR194" s="239"/>
      <c r="AS194" s="239"/>
      <c r="AT194" s="239"/>
      <c r="AU194" s="239"/>
      <c r="AV194" s="239"/>
      <c r="AW194" s="239"/>
      <c r="AX194" s="239"/>
      <c r="AY194" s="239"/>
      <c r="AZ194" s="239"/>
      <c r="BA194" s="239"/>
      <c r="BB194" s="239"/>
      <c r="BC194" s="239"/>
      <c r="BD194" s="239"/>
      <c r="BE194" s="239"/>
      <c r="BF194" s="239"/>
      <c r="BG194" s="239"/>
      <c r="BH194" s="239"/>
      <c r="BI194" s="239"/>
      <c r="BJ194" s="239"/>
      <c r="BK194" s="239"/>
      <c r="BL194" s="239"/>
      <c r="BM194" s="239"/>
      <c r="BN194" s="239"/>
      <c r="BO194" s="239"/>
      <c r="BP194" s="239"/>
      <c r="BQ194" s="239"/>
      <c r="BR194" s="239"/>
      <c r="BS194" s="239"/>
      <c r="BT194" s="239"/>
      <c r="BU194" s="239"/>
      <c r="BV194" s="239"/>
      <c r="BW194" s="239"/>
      <c r="BX194" s="239"/>
      <c r="BY194" s="239"/>
      <c r="BZ194" s="239"/>
    </row>
    <row r="195" ht="16.8" customHeight="1" spans="1:78" x14ac:dyDescent="0.25">
      <c r="A195" s="239"/>
      <c r="B195" s="239"/>
      <c r="C195" s="239"/>
      <c r="D195" s="239"/>
      <c r="E195" s="239"/>
      <c r="F195" s="239"/>
      <c r="G195" s="239"/>
      <c r="H195" s="239"/>
      <c r="I195" s="239"/>
      <c r="J195" s="239"/>
      <c r="K195" s="239"/>
      <c r="L195" s="239"/>
      <c r="M195" s="239"/>
      <c r="N195" s="239"/>
      <c r="O195" s="239"/>
      <c r="P195" s="239"/>
      <c r="Q195" s="239"/>
      <c r="R195" s="239"/>
      <c r="S195" s="239"/>
      <c r="T195" s="239"/>
      <c r="U195" s="239"/>
      <c r="V195" s="239"/>
      <c r="W195" s="239"/>
      <c r="X195" s="239"/>
      <c r="Y195" s="239"/>
      <c r="Z195" s="239"/>
      <c r="AA195" s="239"/>
      <c r="AB195" s="239"/>
      <c r="AC195" s="239"/>
      <c r="AD195" s="239"/>
      <c r="AE195" s="239"/>
      <c r="AF195" s="239"/>
      <c r="AG195" s="239"/>
      <c r="AH195" s="239"/>
      <c r="AI195" s="239"/>
      <c r="AJ195" s="239"/>
      <c r="AK195" s="239"/>
      <c r="AL195" s="239"/>
      <c r="AM195" s="239"/>
      <c r="AN195" s="239"/>
      <c r="AO195" s="239"/>
      <c r="AP195" s="239"/>
      <c r="AQ195" s="239"/>
      <c r="AR195" s="239"/>
      <c r="AS195" s="239"/>
      <c r="AT195" s="239"/>
      <c r="AU195" s="239"/>
      <c r="AV195" s="239"/>
      <c r="AW195" s="239"/>
      <c r="AX195" s="239"/>
      <c r="AY195" s="239"/>
      <c r="AZ195" s="239"/>
      <c r="BA195" s="239"/>
      <c r="BB195" s="239"/>
      <c r="BC195" s="239"/>
      <c r="BD195" s="239"/>
      <c r="BE195" s="239"/>
      <c r="BF195" s="239"/>
      <c r="BG195" s="239"/>
      <c r="BH195" s="239"/>
      <c r="BI195" s="239"/>
      <c r="BJ195" s="239"/>
      <c r="BK195" s="239"/>
      <c r="BL195" s="239"/>
      <c r="BM195" s="239"/>
      <c r="BN195" s="239"/>
      <c r="BO195" s="239"/>
      <c r="BP195" s="239"/>
      <c r="BQ195" s="239"/>
      <c r="BR195" s="239"/>
      <c r="BS195" s="239"/>
      <c r="BT195" s="239"/>
      <c r="BU195" s="239"/>
      <c r="BV195" s="239"/>
      <c r="BW195" s="239"/>
      <c r="BX195" s="239"/>
      <c r="BY195" s="239"/>
      <c r="BZ195" s="239"/>
    </row>
    <row r="196" ht="16.8" customHeight="1" spans="1:78" x14ac:dyDescent="0.25">
      <c r="A196" s="239"/>
      <c r="B196" s="239"/>
      <c r="C196" s="239"/>
      <c r="D196" s="239"/>
      <c r="E196" s="239"/>
      <c r="F196" s="239"/>
      <c r="G196" s="239"/>
      <c r="H196" s="239"/>
      <c r="I196" s="239"/>
      <c r="J196" s="239"/>
      <c r="K196" s="239"/>
      <c r="L196" s="239"/>
      <c r="M196" s="239"/>
      <c r="N196" s="239"/>
      <c r="O196" s="239"/>
      <c r="P196" s="239"/>
      <c r="Q196" s="239"/>
      <c r="R196" s="239"/>
      <c r="S196" s="239"/>
      <c r="T196" s="239"/>
      <c r="U196" s="239"/>
      <c r="V196" s="239"/>
      <c r="W196" s="239"/>
      <c r="X196" s="239"/>
      <c r="Y196" s="239"/>
      <c r="Z196" s="239"/>
      <c r="AA196" s="239"/>
      <c r="AB196" s="239"/>
      <c r="AC196" s="239"/>
      <c r="AD196" s="239"/>
      <c r="AE196" s="239"/>
      <c r="AF196" s="239"/>
      <c r="AG196" s="239"/>
      <c r="AH196" s="239"/>
      <c r="AI196" s="239"/>
      <c r="AJ196" s="239"/>
      <c r="AK196" s="239"/>
      <c r="AL196" s="239"/>
      <c r="AM196" s="239"/>
      <c r="AN196" s="239"/>
      <c r="AO196" s="239"/>
      <c r="AP196" s="239"/>
      <c r="AQ196" s="239"/>
      <c r="AR196" s="239"/>
      <c r="AS196" s="239"/>
      <c r="AT196" s="239"/>
      <c r="AU196" s="239"/>
      <c r="AV196" s="239"/>
      <c r="AW196" s="239"/>
      <c r="AX196" s="239"/>
      <c r="AY196" s="239"/>
      <c r="AZ196" s="239"/>
      <c r="BA196" s="239"/>
      <c r="BB196" s="239"/>
      <c r="BC196" s="239"/>
      <c r="BD196" s="239"/>
      <c r="BE196" s="239"/>
      <c r="BF196" s="239"/>
      <c r="BG196" s="239"/>
      <c r="BH196" s="239"/>
      <c r="BI196" s="239"/>
      <c r="BJ196" s="239"/>
      <c r="BK196" s="239"/>
      <c r="BL196" s="239"/>
      <c r="BM196" s="239"/>
      <c r="BN196" s="239"/>
      <c r="BO196" s="239"/>
      <c r="BP196" s="239"/>
      <c r="BQ196" s="239"/>
      <c r="BR196" s="239"/>
      <c r="BS196" s="239"/>
      <c r="BT196" s="239"/>
      <c r="BU196" s="239"/>
      <c r="BV196" s="239"/>
      <c r="BW196" s="239"/>
      <c r="BX196" s="239"/>
      <c r="BY196" s="239"/>
      <c r="BZ196" s="239"/>
    </row>
    <row r="197" ht="16.8" customHeight="1" spans="1:78" x14ac:dyDescent="0.25">
      <c r="A197" s="239"/>
      <c r="B197" s="239"/>
      <c r="C197" s="239"/>
      <c r="D197" s="239"/>
      <c r="E197" s="239"/>
      <c r="F197" s="239"/>
      <c r="G197" s="239"/>
      <c r="H197" s="239"/>
      <c r="I197" s="239"/>
      <c r="J197" s="239"/>
      <c r="K197" s="239"/>
      <c r="L197" s="239"/>
      <c r="M197" s="239"/>
      <c r="N197" s="239"/>
      <c r="O197" s="239"/>
      <c r="P197" s="239"/>
      <c r="Q197" s="239"/>
      <c r="R197" s="239"/>
      <c r="S197" s="239"/>
      <c r="T197" s="239"/>
      <c r="U197" s="239"/>
      <c r="V197" s="239"/>
      <c r="W197" s="239"/>
      <c r="X197" s="239"/>
      <c r="Y197" s="239"/>
      <c r="Z197" s="239"/>
      <c r="AA197" s="239"/>
      <c r="AB197" s="239"/>
      <c r="AC197" s="239"/>
      <c r="AD197" s="239"/>
      <c r="AE197" s="239"/>
      <c r="AF197" s="239"/>
      <c r="AG197" s="239"/>
      <c r="AH197" s="239"/>
      <c r="AI197" s="239"/>
      <c r="AJ197" s="239"/>
      <c r="AK197" s="239"/>
      <c r="AL197" s="239"/>
      <c r="AM197" s="239"/>
      <c r="AN197" s="239"/>
      <c r="AO197" s="239"/>
      <c r="AP197" s="239"/>
      <c r="AQ197" s="239"/>
      <c r="AR197" s="239"/>
      <c r="AS197" s="239"/>
      <c r="AT197" s="239"/>
      <c r="AU197" s="239"/>
      <c r="AV197" s="239"/>
      <c r="AW197" s="239"/>
      <c r="AX197" s="239"/>
      <c r="AY197" s="239"/>
      <c r="AZ197" s="239"/>
      <c r="BA197" s="239"/>
      <c r="BB197" s="239"/>
      <c r="BC197" s="239"/>
      <c r="BD197" s="239"/>
      <c r="BE197" s="239"/>
      <c r="BF197" s="239"/>
      <c r="BG197" s="239"/>
      <c r="BH197" s="239"/>
      <c r="BI197" s="239"/>
      <c r="BJ197" s="239"/>
      <c r="BK197" s="239"/>
      <c r="BL197" s="239"/>
      <c r="BM197" s="239"/>
      <c r="BN197" s="239"/>
      <c r="BO197" s="239"/>
      <c r="BP197" s="239"/>
      <c r="BQ197" s="239"/>
      <c r="BR197" s="239"/>
      <c r="BS197" s="239"/>
      <c r="BT197" s="239"/>
      <c r="BU197" s="239"/>
      <c r="BV197" s="239"/>
      <c r="BW197" s="239"/>
      <c r="BX197" s="239"/>
      <c r="BY197" s="239"/>
      <c r="BZ197" s="239"/>
    </row>
    <row r="198" ht="16.8" customHeight="1" spans="1:78" x14ac:dyDescent="0.25">
      <c r="A198" s="239"/>
      <c r="B198" s="239"/>
      <c r="C198" s="239"/>
      <c r="D198" s="239"/>
      <c r="E198" s="239"/>
      <c r="F198" s="239"/>
      <c r="G198" s="239"/>
      <c r="H198" s="239"/>
      <c r="I198" s="239"/>
      <c r="J198" s="239"/>
      <c r="K198" s="239"/>
      <c r="L198" s="239"/>
      <c r="M198" s="239"/>
      <c r="N198" s="239"/>
      <c r="O198" s="239"/>
      <c r="P198" s="239"/>
      <c r="Q198" s="239"/>
      <c r="R198" s="239"/>
      <c r="S198" s="239"/>
      <c r="T198" s="239"/>
      <c r="U198" s="239"/>
      <c r="V198" s="239"/>
      <c r="W198" s="239"/>
      <c r="X198" s="239"/>
      <c r="Y198" s="239"/>
      <c r="Z198" s="239"/>
      <c r="AA198" s="239"/>
      <c r="AB198" s="239"/>
      <c r="AC198" s="239"/>
      <c r="AD198" s="239"/>
      <c r="AE198" s="239"/>
      <c r="AF198" s="239"/>
      <c r="AG198" s="239"/>
      <c r="AH198" s="239"/>
      <c r="AI198" s="239"/>
      <c r="AJ198" s="239"/>
      <c r="AK198" s="239"/>
      <c r="AL198" s="239"/>
      <c r="AM198" s="239"/>
      <c r="AN198" s="239"/>
      <c r="AO198" s="239"/>
      <c r="AP198" s="239"/>
      <c r="AQ198" s="239"/>
      <c r="AR198" s="239"/>
      <c r="AS198" s="239"/>
      <c r="AT198" s="239"/>
      <c r="AU198" s="239"/>
      <c r="AV198" s="239"/>
      <c r="AW198" s="239"/>
      <c r="AX198" s="239"/>
      <c r="AY198" s="239"/>
      <c r="AZ198" s="239"/>
      <c r="BA198" s="239"/>
      <c r="BB198" s="239"/>
      <c r="BC198" s="239"/>
      <c r="BD198" s="239"/>
      <c r="BE198" s="239"/>
      <c r="BF198" s="239"/>
      <c r="BG198" s="239"/>
      <c r="BH198" s="239"/>
      <c r="BI198" s="239"/>
      <c r="BJ198" s="239"/>
      <c r="BK198" s="239"/>
      <c r="BL198" s="239"/>
      <c r="BM198" s="239"/>
      <c r="BN198" s="239"/>
      <c r="BO198" s="239"/>
      <c r="BP198" s="239"/>
      <c r="BQ198" s="239"/>
      <c r="BR198" s="239"/>
      <c r="BS198" s="239"/>
      <c r="BT198" s="239"/>
      <c r="BU198" s="239"/>
      <c r="BV198" s="239"/>
      <c r="BW198" s="239"/>
      <c r="BX198" s="239"/>
      <c r="BY198" s="239"/>
      <c r="BZ198" s="239"/>
    </row>
    <row r="199" ht="16.8" customHeight="1" spans="1:78" x14ac:dyDescent="0.25">
      <c r="A199" s="239"/>
      <c r="B199" s="239"/>
      <c r="C199" s="239"/>
      <c r="D199" s="239"/>
      <c r="E199" s="239"/>
      <c r="F199" s="239"/>
      <c r="G199" s="239"/>
      <c r="H199" s="239"/>
      <c r="I199" s="239"/>
      <c r="J199" s="239"/>
      <c r="K199" s="239"/>
      <c r="L199" s="239"/>
      <c r="M199" s="239"/>
      <c r="N199" s="239"/>
      <c r="O199" s="239"/>
      <c r="P199" s="239"/>
      <c r="Q199" s="239"/>
      <c r="R199" s="239"/>
      <c r="S199" s="239"/>
      <c r="T199" s="239"/>
      <c r="U199" s="239"/>
      <c r="V199" s="239"/>
      <c r="W199" s="239"/>
      <c r="X199" s="239"/>
      <c r="Y199" s="239"/>
      <c r="Z199" s="239"/>
      <c r="AA199" s="239"/>
      <c r="AB199" s="239"/>
      <c r="AC199" s="239"/>
      <c r="AD199" s="239"/>
      <c r="AE199" s="239"/>
      <c r="AF199" s="239"/>
      <c r="AG199" s="239"/>
      <c r="AH199" s="239"/>
      <c r="AI199" s="239"/>
      <c r="AJ199" s="239"/>
      <c r="AK199" s="239"/>
      <c r="AL199" s="239"/>
      <c r="AM199" s="239"/>
      <c r="AN199" s="239"/>
      <c r="AO199" s="239"/>
      <c r="AP199" s="239"/>
      <c r="AQ199" s="239"/>
      <c r="AR199" s="239"/>
      <c r="AS199" s="239"/>
      <c r="AT199" s="239"/>
      <c r="AU199" s="239"/>
      <c r="AV199" s="239"/>
      <c r="AW199" s="239"/>
      <c r="AX199" s="239"/>
      <c r="AY199" s="239"/>
      <c r="AZ199" s="239"/>
      <c r="BA199" s="239"/>
      <c r="BB199" s="239"/>
      <c r="BC199" s="239"/>
      <c r="BD199" s="239"/>
      <c r="BE199" s="239"/>
      <c r="BF199" s="239"/>
      <c r="BG199" s="239"/>
      <c r="BH199" s="239"/>
      <c r="BI199" s="239"/>
      <c r="BJ199" s="239"/>
      <c r="BK199" s="239"/>
      <c r="BL199" s="239"/>
      <c r="BM199" s="239"/>
      <c r="BN199" s="239"/>
      <c r="BO199" s="239"/>
      <c r="BP199" s="239"/>
      <c r="BQ199" s="239"/>
      <c r="BR199" s="239"/>
      <c r="BS199" s="239"/>
      <c r="BT199" s="239"/>
      <c r="BU199" s="239"/>
      <c r="BV199" s="239"/>
      <c r="BW199" s="239"/>
      <c r="BX199" s="239"/>
      <c r="BY199" s="239"/>
      <c r="BZ199" s="239"/>
    </row>
    <row r="200" ht="16.8" customHeight="1" spans="1:78" x14ac:dyDescent="0.25">
      <c r="A200" s="239"/>
      <c r="B200" s="239"/>
      <c r="C200" s="239"/>
      <c r="D200" s="239"/>
      <c r="E200" s="239"/>
      <c r="F200" s="239"/>
      <c r="G200" s="239"/>
      <c r="H200" s="239"/>
      <c r="I200" s="239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239"/>
      <c r="AN200" s="239"/>
      <c r="AO200" s="239"/>
      <c r="AP200" s="239"/>
      <c r="AQ200" s="239"/>
      <c r="AR200" s="239"/>
      <c r="AS200" s="239"/>
      <c r="AT200" s="239"/>
      <c r="AU200" s="239"/>
      <c r="AV200" s="239"/>
      <c r="AW200" s="239"/>
      <c r="AX200" s="239"/>
      <c r="AY200" s="239"/>
      <c r="AZ200" s="239"/>
      <c r="BA200" s="239"/>
      <c r="BB200" s="239"/>
      <c r="BC200" s="239"/>
      <c r="BD200" s="239"/>
      <c r="BE200" s="239"/>
      <c r="BF200" s="239"/>
      <c r="BG200" s="239"/>
      <c r="BH200" s="239"/>
      <c r="BI200" s="239"/>
      <c r="BJ200" s="239"/>
      <c r="BK200" s="239"/>
      <c r="BL200" s="239"/>
      <c r="BM200" s="239"/>
      <c r="BN200" s="239"/>
      <c r="BO200" s="239"/>
      <c r="BP200" s="239"/>
      <c r="BQ200" s="239"/>
      <c r="BR200" s="239"/>
      <c r="BS200" s="239"/>
      <c r="BT200" s="239"/>
      <c r="BU200" s="239"/>
      <c r="BV200" s="239"/>
      <c r="BW200" s="239"/>
      <c r="BX200" s="239"/>
      <c r="BY200" s="239"/>
      <c r="BZ200" s="2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6272B"/>
  </sheetPr>
  <dimension ref="A1:BN568"/>
  <sheetViews>
    <sheetView workbookViewId="0" showGridLines="0" zoomScale="100" zoomScaleNormal="100">
      <pane ySplit="1" topLeftCell="A2" activePane="bottomLeft" state="frozen"/>
      <selection pane="bottomLeft" activeCell="E118" sqref="E118"/>
    </sheetView>
  </sheetViews>
  <sheetFormatPr defaultRowHeight="14.4" outlineLevelRow="0" outlineLevelCol="0" x14ac:dyDescent="0.3" customHeight="1"/>
  <cols>
    <col min="1" max="1" width="10.77734375" style="165" customWidth="1"/>
    <col min="2" max="2" width="13.5546875" style="165" customWidth="1"/>
    <col min="3" max="3" width="18.44140625" style="165" customWidth="1"/>
    <col min="4" max="4" width="22.33203125" style="165" customWidth="1"/>
    <col min="5" max="5" width="10.33203125" style="165" customWidth="1"/>
    <col min="6" max="6" width="18.21875" style="165" customWidth="1"/>
    <col min="7" max="7" width="34.5546875" style="166" customWidth="1"/>
    <col min="8" max="8" width="12.33203125" style="165" customWidth="1"/>
    <col min="9" max="9" width="11.77734375" style="165" customWidth="1"/>
    <col min="10" max="10" width="14" style="165" customWidth="1"/>
    <col min="11" max="11" width="12.44140625" style="165" customWidth="1"/>
    <col min="12" max="12" width="10" style="165" customWidth="1"/>
    <col min="13" max="13" width="12.88671875" style="165" customWidth="1"/>
    <col min="14" max="14" width="13.33203125" style="165" customWidth="1"/>
    <col min="15" max="15" width="8.88671875" style="165" customWidth="1"/>
    <col min="16" max="16" width="4.44140625" style="165" customWidth="1"/>
    <col min="17" max="17" width="24.109375" style="165" customWidth="1"/>
    <col min="18" max="18" width="20.33203125" style="165" customWidth="1"/>
    <col min="19" max="16384" width="8.88671875" style="165" customWidth="1"/>
  </cols>
  <sheetData>
    <row r="1" ht="22.05" customHeight="1" spans="1:66" x14ac:dyDescent="0.25">
      <c r="A1" s="167" t="s">
        <v>100</v>
      </c>
      <c r="B1" s="167" t="s">
        <v>7</v>
      </c>
      <c r="C1" s="167" t="s">
        <v>9</v>
      </c>
      <c r="D1" s="167" t="s">
        <v>15</v>
      </c>
      <c r="E1" s="167" t="s">
        <v>12</v>
      </c>
      <c r="F1" s="167" t="s">
        <v>16</v>
      </c>
      <c r="G1" s="167" t="s">
        <v>20</v>
      </c>
      <c r="H1" s="167" t="s">
        <v>101</v>
      </c>
      <c r="I1" s="167" t="s">
        <v>23</v>
      </c>
      <c r="J1" s="167" t="s">
        <v>22</v>
      </c>
      <c r="K1" s="167" t="s">
        <v>24</v>
      </c>
      <c r="L1" s="167" t="s">
        <v>8</v>
      </c>
      <c r="M1" s="167" t="s">
        <v>11</v>
      </c>
      <c r="N1" s="167" t="s">
        <v>26</v>
      </c>
      <c r="O1" s="168"/>
      <c r="P1" s="168"/>
      <c r="Q1" s="168"/>
      <c r="R1" s="168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</row>
    <row r="2" ht="19.95" customHeight="1" spans="1:18" x14ac:dyDescent="0.25">
      <c r="A2" s="170">
        <v>6</v>
      </c>
      <c r="B2" s="171">
        <v>46266</v>
      </c>
      <c r="C2" s="170" t="s">
        <v>10</v>
      </c>
      <c r="D2" s="170"/>
      <c r="E2" s="170" t="s">
        <v>13</v>
      </c>
      <c r="F2" s="170" t="s">
        <v>60</v>
      </c>
      <c r="G2" s="170" t="s">
        <v>82</v>
      </c>
      <c r="H2" s="172">
        <v>125</v>
      </c>
      <c r="I2" s="172">
        <v>13500</v>
      </c>
      <c r="J2" s="173">
        <f>IFERROR(INDEX(Products!$E$4:$E$500,MATCH(tblLines[[#This Row],[Description (Product)]],Products!$B$4:$B$500,0)),"")</f>
        <v>25</v>
      </c>
      <c r="K2" s="174">
        <f>IF(OR(tblLines[[#This Row],[Description (Product)]]="",tblLines[[#This Row],[Rate 40Kg]]=""),"",tblLines[[#This Row],[Rate 40Kg]]/40*tblLines[[#This Row],[Pack Wt (KG)]])</f>
        <v>8437.5</v>
      </c>
      <c r="L2" s="175">
        <f>IF(OR(tblLines[[#This Row],[Rate / Pack]]="",tblLines[[#This Row],[Qty (Packs)]]=""),"",ROUND(tblLines[[#This Row],[Rate / Pack]]*tblLines[[#This Row],[Qty (Packs)]],0))</f>
        <v>1054688</v>
      </c>
      <c r="M2" s="176">
        <f>IF(tblLines[[#This Row],[Amount]]="","",tblLines[[#This Row],[Amount]]*IFERROR(INDEX(Products!$I$4:$I$500,MATCH(tblLines[[#This Row],[Description (Product)]],Products!$B$4:$B$500,0)),frmCommRate))</f>
        <v>3691.408</v>
      </c>
      <c r="N2" s="172">
        <f>IF(tblLines[[#This Row],[Qty (Packs)]]="","",tblLines[[#This Row],[Qty (Packs)]]*tblLines[[#This Row],[Pack Wt (KG)]])</f>
        <v>3125</v>
      </c>
      <c r="O2" s="168"/>
      <c r="P2" s="168"/>
      <c r="Q2" s="168"/>
      <c r="R2" s="168"/>
    </row>
    <row r="3" ht="19.95" customHeight="1" spans="1:18" x14ac:dyDescent="0.25">
      <c r="A3" s="177">
        <v>6</v>
      </c>
      <c r="B3" s="178">
        <v>46266</v>
      </c>
      <c r="C3" s="177" t="s">
        <v>10</v>
      </c>
      <c r="D3" s="177"/>
      <c r="E3" s="177" t="s">
        <v>13</v>
      </c>
      <c r="F3" s="177" t="s">
        <v>60</v>
      </c>
      <c r="G3" s="177" t="s">
        <v>88</v>
      </c>
      <c r="H3" s="179">
        <v>200</v>
      </c>
      <c r="I3" s="179">
        <v>10600</v>
      </c>
      <c r="J3" s="180">
        <f>IFERROR(INDEX(Products!$E$4:$E$500,MATCH(tblLines[[#This Row],[Description (Product)]],Products!$B$4:$B$500,0)),"")</f>
        <v>25</v>
      </c>
      <c r="K3" s="181">
        <f>IF(OR(tblLines[[#This Row],[Description (Product)]]="",tblLines[[#This Row],[Rate 40Kg]]=""),"",tblLines[[#This Row],[Rate 40Kg]]/40*tblLines[[#This Row],[Pack Wt (KG)]])</f>
        <v>6625</v>
      </c>
      <c r="L3" s="182">
        <f>IF(OR(tblLines[[#This Row],[Rate / Pack]]="",tblLines[[#This Row],[Qty (Packs)]]=""),"",ROUND(tblLines[[#This Row],[Rate / Pack]]*tblLines[[#This Row],[Qty (Packs)]],0))</f>
        <v>1325000</v>
      </c>
      <c r="M3" s="183">
        <f>IF(tblLines[[#This Row],[Amount]]="","",tblLines[[#This Row],[Amount]]*IFERROR(INDEX(Products!$I$4:$I$500,MATCH(tblLines[[#This Row],[Description (Product)]],Products!$B$4:$B$500,0)),frmCommRate))</f>
        <v>4637.5</v>
      </c>
      <c r="N3" s="179">
        <f>IF(tblLines[[#This Row],[Qty (Packs)]]="","",tblLines[[#This Row],[Qty (Packs)]]*tblLines[[#This Row],[Pack Wt (KG)]])</f>
        <v>5000</v>
      </c>
      <c r="O3" s="168"/>
      <c r="P3" s="168"/>
      <c r="Q3" s="168"/>
      <c r="R3" s="168"/>
    </row>
    <row r="4" ht="19.95" customHeight="1" spans="1:18" x14ac:dyDescent="0.25">
      <c r="A4" s="177">
        <v>6</v>
      </c>
      <c r="B4" s="178">
        <v>46266</v>
      </c>
      <c r="C4" s="177" t="s">
        <v>10</v>
      </c>
      <c r="D4" s="177"/>
      <c r="E4" s="177" t="s">
        <v>13</v>
      </c>
      <c r="F4" s="177" t="s">
        <v>60</v>
      </c>
      <c r="G4" s="177" t="s">
        <v>74</v>
      </c>
      <c r="H4" s="179">
        <v>50</v>
      </c>
      <c r="I4" s="179">
        <v>7650</v>
      </c>
      <c r="J4" s="180">
        <f>IFERROR(INDEX(Products!$E$4:$E$500,MATCH(tblLines[[#This Row],[Description (Product)]],Products!$B$4:$B$500,0)),"")</f>
        <v>25</v>
      </c>
      <c r="K4" s="181">
        <f>IF(OR(tblLines[[#This Row],[Description (Product)]]="",tblLines[[#This Row],[Rate 40Kg]]=""),"",tblLines[[#This Row],[Rate 40Kg]]/40*tblLines[[#This Row],[Pack Wt (KG)]])</f>
        <v>4781.25</v>
      </c>
      <c r="L4" s="182">
        <f>IF(OR(tblLines[[#This Row],[Rate / Pack]]="",tblLines[[#This Row],[Qty (Packs)]]=""),"",ROUND(tblLines[[#This Row],[Rate / Pack]]*tblLines[[#This Row],[Qty (Packs)]],0))</f>
        <v>239063</v>
      </c>
      <c r="M4" s="183">
        <f>IF(tblLines[[#This Row],[Amount]]="","",tblLines[[#This Row],[Amount]]*IFERROR(INDEX(Products!$I$4:$I$500,MATCH(tblLines[[#This Row],[Description (Product)]],Products!$B$4:$B$500,0)),frmCommRate))</f>
        <v>836.7205</v>
      </c>
      <c r="N4" s="179">
        <f>IF(tblLines[[#This Row],[Qty (Packs)]]="","",tblLines[[#This Row],[Qty (Packs)]]*tblLines[[#This Row],[Pack Wt (KG)]])</f>
        <v>1250</v>
      </c>
      <c r="O4" s="168"/>
      <c r="P4" s="168"/>
      <c r="Q4" s="168"/>
      <c r="R4" s="168"/>
    </row>
    <row r="5" ht="22.05" customHeight="1" spans="1:18" x14ac:dyDescent="0.25">
      <c r="A5" s="177">
        <v>6</v>
      </c>
      <c r="B5" s="178">
        <v>46266</v>
      </c>
      <c r="C5" s="177" t="s">
        <v>10</v>
      </c>
      <c r="D5" s="177"/>
      <c r="E5" s="177" t="s">
        <v>13</v>
      </c>
      <c r="F5" s="177" t="s">
        <v>60</v>
      </c>
      <c r="G5" s="177" t="s">
        <v>72</v>
      </c>
      <c r="H5" s="179">
        <v>125</v>
      </c>
      <c r="I5" s="179">
        <v>12150</v>
      </c>
      <c r="J5" s="180">
        <f>IFERROR(INDEX(Products!$E$4:$E$500,MATCH(tblLines[[#This Row],[Description (Product)]],Products!$B$4:$B$500,0)),"")</f>
        <v>25</v>
      </c>
      <c r="K5" s="181">
        <f>IF(OR(tblLines[[#This Row],[Description (Product)]]="",tblLines[[#This Row],[Rate 40Kg]]=""),"",tblLines[[#This Row],[Rate 40Kg]]/40*tblLines[[#This Row],[Pack Wt (KG)]])</f>
        <v>7593.75</v>
      </c>
      <c r="L5" s="182">
        <f>IF(OR(tblLines[[#This Row],[Rate / Pack]]="",tblLines[[#This Row],[Qty (Packs)]]=""),"",ROUND(tblLines[[#This Row],[Rate / Pack]]*tblLines[[#This Row],[Qty (Packs)]],0))</f>
        <v>949219</v>
      </c>
      <c r="M5" s="183">
        <f>IF(tblLines[[#This Row],[Amount]]="","",tblLines[[#This Row],[Amount]]*IFERROR(INDEX(Products!$I$4:$I$500,MATCH(tblLines[[#This Row],[Description (Product)]],Products!$B$4:$B$500,0)),frmCommRate))</f>
        <v>3322.2665</v>
      </c>
      <c r="N5" s="179">
        <f>IF(tblLines[[#This Row],[Qty (Packs)]]="","",tblLines[[#This Row],[Qty (Packs)]]*tblLines[[#This Row],[Pack Wt (KG)]])</f>
        <v>3125</v>
      </c>
      <c r="O5" s="168"/>
      <c r="P5" s="168"/>
      <c r="Q5" s="184" t="s">
        <v>102</v>
      </c>
      <c r="R5" s="185">
        <f>SUM(tblLines[Weight (KG)])/1000</f>
        <v>841.18</v>
      </c>
    </row>
    <row r="6" ht="22.05" customHeight="1" spans="1:18" x14ac:dyDescent="0.25">
      <c r="A6" s="177">
        <v>7</v>
      </c>
      <c r="B6" s="178">
        <v>46266</v>
      </c>
      <c r="C6" s="177" t="s">
        <v>10</v>
      </c>
      <c r="D6" s="177"/>
      <c r="E6" s="177" t="s">
        <v>13</v>
      </c>
      <c r="F6" s="177" t="s">
        <v>17</v>
      </c>
      <c r="G6" s="177" t="s">
        <v>29</v>
      </c>
      <c r="H6" s="179">
        <v>25</v>
      </c>
      <c r="I6" s="179">
        <v>10250</v>
      </c>
      <c r="J6" s="180">
        <f>IFERROR(INDEX(Products!$E$4:$E$500,MATCH(tblLines[[#This Row],[Description (Product)]],Products!$B$4:$B$500,0)),"")</f>
        <v>25</v>
      </c>
      <c r="K6" s="181">
        <f>IF(OR(tblLines[[#This Row],[Description (Product)]]="",tblLines[[#This Row],[Rate 40Kg]]=""),"",tblLines[[#This Row],[Rate 40Kg]]/40*tblLines[[#This Row],[Pack Wt (KG)]])</f>
        <v>6406.25</v>
      </c>
      <c r="L6" s="182">
        <f>IF(OR(tblLines[[#This Row],[Rate / Pack]]="",tblLines[[#This Row],[Qty (Packs)]]=""),"",ROUND(tblLines[[#This Row],[Rate / Pack]]*tblLines[[#This Row],[Qty (Packs)]],0))</f>
        <v>160156</v>
      </c>
      <c r="M6" s="183">
        <f>IF(tblLines[[#This Row],[Amount]]="","",tblLines[[#This Row],[Amount]]*IFERROR(INDEX(Products!$I$4:$I$500,MATCH(tblLines[[#This Row],[Description (Product)]],Products!$B$4:$B$500,0)),frmCommRate))</f>
        <v>560.546</v>
      </c>
      <c r="N6" s="179">
        <f>IF(tblLines[[#This Row],[Qty (Packs)]]="","",tblLines[[#This Row],[Qty (Packs)]]*tblLines[[#This Row],[Pack Wt (KG)]])</f>
        <v>625</v>
      </c>
      <c r="O6" s="168"/>
      <c r="P6" s="168"/>
      <c r="Q6" s="184" t="s">
        <v>103</v>
      </c>
      <c r="R6" s="186">
        <f>SUM(tblLines[Amount])</f>
        <v>193457434</v>
      </c>
    </row>
    <row r="7" ht="22.05" customHeight="1" spans="1:18" x14ac:dyDescent="0.25">
      <c r="A7" s="177">
        <v>7</v>
      </c>
      <c r="B7" s="178">
        <v>46266</v>
      </c>
      <c r="C7" s="177" t="s">
        <v>10</v>
      </c>
      <c r="D7" s="177"/>
      <c r="E7" s="177" t="s">
        <v>13</v>
      </c>
      <c r="F7" s="177" t="s">
        <v>17</v>
      </c>
      <c r="G7" s="177" t="s">
        <v>30</v>
      </c>
      <c r="H7" s="179">
        <v>20</v>
      </c>
      <c r="I7" s="179">
        <v>8400</v>
      </c>
      <c r="J7" s="180">
        <f>IFERROR(INDEX(Products!$E$4:$E$500,MATCH(tblLines[[#This Row],[Description (Product)]],Products!$B$4:$B$500,0)),"")</f>
        <v>25</v>
      </c>
      <c r="K7" s="181">
        <f>IF(OR(tblLines[[#This Row],[Description (Product)]]="",tblLines[[#This Row],[Rate 40Kg]]=""),"",tblLines[[#This Row],[Rate 40Kg]]/40*tblLines[[#This Row],[Pack Wt (KG)]])</f>
        <v>5250</v>
      </c>
      <c r="L7" s="182">
        <f>IF(OR(tblLines[[#This Row],[Rate / Pack]]="",tblLines[[#This Row],[Qty (Packs)]]=""),"",ROUND(tblLines[[#This Row],[Rate / Pack]]*tblLines[[#This Row],[Qty (Packs)]],0))</f>
        <v>105000</v>
      </c>
      <c r="M7" s="183">
        <f>IF(tblLines[[#This Row],[Amount]]="","",tblLines[[#This Row],[Amount]]*IFERROR(INDEX(Products!$I$4:$I$500,MATCH(tblLines[[#This Row],[Description (Product)]],Products!$B$4:$B$500,0)),frmCommRate))</f>
        <v>367.5</v>
      </c>
      <c r="N7" s="179">
        <f>IF(tblLines[[#This Row],[Qty (Packs)]]="","",tblLines[[#This Row],[Qty (Packs)]]*tblLines[[#This Row],[Pack Wt (KG)]])</f>
        <v>500</v>
      </c>
      <c r="O7" s="168"/>
      <c r="P7" s="168"/>
      <c r="Q7" s="184" t="s">
        <v>104</v>
      </c>
      <c r="R7" s="185">
        <f>SUM(tblLines[Commission])</f>
        <v>677101.0190000001</v>
      </c>
    </row>
    <row r="8" ht="22.05" customHeight="1" spans="1:18" x14ac:dyDescent="0.25">
      <c r="A8" s="177">
        <v>7</v>
      </c>
      <c r="B8" s="178">
        <v>46266</v>
      </c>
      <c r="C8" s="177" t="s">
        <v>10</v>
      </c>
      <c r="D8" s="177"/>
      <c r="E8" s="177" t="s">
        <v>13</v>
      </c>
      <c r="F8" s="177" t="s">
        <v>17</v>
      </c>
      <c r="G8" s="177" t="s">
        <v>28</v>
      </c>
      <c r="H8" s="179">
        <v>25</v>
      </c>
      <c r="I8" s="179">
        <v>16250</v>
      </c>
      <c r="J8" s="180">
        <f>IFERROR(INDEX(Products!$E$4:$E$500,MATCH(tblLines[[#This Row],[Description (Product)]],Products!$B$4:$B$500,0)),"")</f>
        <v>25</v>
      </c>
      <c r="K8" s="181">
        <f>IF(OR(tblLines[[#This Row],[Description (Product)]]="",tblLines[[#This Row],[Rate 40Kg]]=""),"",tblLines[[#This Row],[Rate 40Kg]]/40*tblLines[[#This Row],[Pack Wt (KG)]])</f>
        <v>10156.25</v>
      </c>
      <c r="L8" s="182">
        <f>IF(OR(tblLines[[#This Row],[Rate / Pack]]="",tblLines[[#This Row],[Qty (Packs)]]=""),"",ROUND(tblLines[[#This Row],[Rate / Pack]]*tblLines[[#This Row],[Qty (Packs)]],0))</f>
        <v>253906</v>
      </c>
      <c r="M8" s="183">
        <f>IF(tblLines[[#This Row],[Amount]]="","",tblLines[[#This Row],[Amount]]*IFERROR(INDEX(Products!$I$4:$I$500,MATCH(tblLines[[#This Row],[Description (Product)]],Products!$B$4:$B$500,0)),frmCommRate))</f>
        <v>888.671</v>
      </c>
      <c r="N8" s="179">
        <f>IF(tblLines[[#This Row],[Qty (Packs)]]="","",tblLines[[#This Row],[Qty (Packs)]]*tblLines[[#This Row],[Pack Wt (KG)]])</f>
        <v>625</v>
      </c>
      <c r="O8" s="168"/>
      <c r="P8" s="168"/>
      <c r="Q8" s="184" t="s">
        <v>105</v>
      </c>
      <c r="R8" s="186">
        <f>SUM(tblLines[Qty (Packs)])</f>
        <v>33509</v>
      </c>
    </row>
    <row r="9" ht="22.05" customHeight="1" spans="1:18" x14ac:dyDescent="0.25">
      <c r="A9" s="177">
        <v>7</v>
      </c>
      <c r="B9" s="178">
        <v>46266</v>
      </c>
      <c r="C9" s="177" t="s">
        <v>10</v>
      </c>
      <c r="D9" s="177"/>
      <c r="E9" s="177" t="s">
        <v>13</v>
      </c>
      <c r="F9" s="177" t="s">
        <v>17</v>
      </c>
      <c r="G9" s="177" t="s">
        <v>27</v>
      </c>
      <c r="H9" s="179">
        <v>30</v>
      </c>
      <c r="I9" s="179">
        <v>8000</v>
      </c>
      <c r="J9" s="180">
        <f>IFERROR(INDEX(Products!$E$4:$E$500,MATCH(tblLines[[#This Row],[Description (Product)]],Products!$B$4:$B$500,0)),"")</f>
        <v>25</v>
      </c>
      <c r="K9" s="181">
        <f>IF(OR(tblLines[[#This Row],[Description (Product)]]="",tblLines[[#This Row],[Rate 40Kg]]=""),"",tblLines[[#This Row],[Rate 40Kg]]/40*tblLines[[#This Row],[Pack Wt (KG)]])</f>
        <v>5000</v>
      </c>
      <c r="L9" s="182">
        <f>IF(OR(tblLines[[#This Row],[Rate / Pack]]="",tblLines[[#This Row],[Qty (Packs)]]=""),"",ROUND(tblLines[[#This Row],[Rate / Pack]]*tblLines[[#This Row],[Qty (Packs)]],0))</f>
        <v>150000</v>
      </c>
      <c r="M9" s="183">
        <f>IF(tblLines[[#This Row],[Amount]]="","",tblLines[[#This Row],[Amount]]*IFERROR(INDEX(Products!$I$4:$I$500,MATCH(tblLines[[#This Row],[Description (Product)]],Products!$B$4:$B$500,0)),frmCommRate))</f>
        <v>525</v>
      </c>
      <c r="N9" s="179">
        <f>IF(tblLines[[#This Row],[Qty (Packs)]]="","",tblLines[[#This Row],[Qty (Packs)]]*tblLines[[#This Row],[Pack Wt (KG)]])</f>
        <v>750</v>
      </c>
      <c r="O9" s="168"/>
      <c r="P9" s="168"/>
      <c r="Q9" s="184" t="s">
        <v>106</v>
      </c>
      <c r="R9" s="186">
        <f>R6/R5</f>
        <v>229983.39713259946</v>
      </c>
    </row>
    <row r="10" ht="22.05" customHeight="1" spans="1:18" x14ac:dyDescent="0.25">
      <c r="A10" s="177">
        <v>14</v>
      </c>
      <c r="B10" s="178">
        <v>46267</v>
      </c>
      <c r="C10" s="177" t="s">
        <v>10</v>
      </c>
      <c r="D10" s="177"/>
      <c r="E10" s="177" t="s">
        <v>13</v>
      </c>
      <c r="F10" s="177" t="s">
        <v>17</v>
      </c>
      <c r="G10" s="177" t="s">
        <v>82</v>
      </c>
      <c r="H10" s="179">
        <v>200</v>
      </c>
      <c r="I10" s="179">
        <v>13500</v>
      </c>
      <c r="J10" s="180">
        <f>IFERROR(INDEX(Products!$E$4:$E$500,MATCH(tblLines[[#This Row],[Description (Product)]],Products!$B$4:$B$500,0)),"")</f>
        <v>25</v>
      </c>
      <c r="K10" s="181">
        <f>IF(OR(tblLines[[#This Row],[Description (Product)]]="",tblLines[[#This Row],[Rate 40Kg]]=""),"",tblLines[[#This Row],[Rate 40Kg]]/40*tblLines[[#This Row],[Pack Wt (KG)]])</f>
        <v>8437.5</v>
      </c>
      <c r="L10" s="182">
        <f>IF(OR(tblLines[[#This Row],[Rate / Pack]]="",tblLines[[#This Row],[Qty (Packs)]]=""),"",ROUND(tblLines[[#This Row],[Rate / Pack]]*tblLines[[#This Row],[Qty (Packs)]],0))</f>
        <v>1687500</v>
      </c>
      <c r="M10" s="183">
        <f>IF(tblLines[[#This Row],[Amount]]="","",tblLines[[#This Row],[Amount]]*IFERROR(INDEX(Products!$I$4:$I$500,MATCH(tblLines[[#This Row],[Description (Product)]],Products!$B$4:$B$500,0)),frmCommRate))</f>
        <v>5906.25</v>
      </c>
      <c r="N10" s="179">
        <f>IF(tblLines[[#This Row],[Qty (Packs)]]="","",tblLines[[#This Row],[Qty (Packs)]]*tblLines[[#This Row],[Pack Wt (KG)]])</f>
        <v>5000</v>
      </c>
      <c r="O10" s="168"/>
      <c r="P10" s="168"/>
      <c r="Q10" s="184" t="s">
        <v>107</v>
      </c>
      <c r="R10" s="186">
        <f>R6/R8</f>
        <v>5773.297740905428</v>
      </c>
    </row>
    <row r="11" ht="19.95" customHeight="1" spans="1:18" x14ac:dyDescent="0.25">
      <c r="A11" s="177">
        <v>14</v>
      </c>
      <c r="B11" s="178">
        <v>46267</v>
      </c>
      <c r="C11" s="177" t="s">
        <v>10</v>
      </c>
      <c r="D11" s="177"/>
      <c r="E11" s="177" t="s">
        <v>13</v>
      </c>
      <c r="F11" s="177" t="s">
        <v>17</v>
      </c>
      <c r="G11" s="177" t="s">
        <v>88</v>
      </c>
      <c r="H11" s="179">
        <v>200</v>
      </c>
      <c r="I11" s="179">
        <v>10600</v>
      </c>
      <c r="J11" s="180">
        <f>IFERROR(INDEX(Products!$E$4:$E$500,MATCH(tblLines[[#This Row],[Description (Product)]],Products!$B$4:$B$500,0)),"")</f>
        <v>25</v>
      </c>
      <c r="K11" s="181">
        <f>IF(OR(tblLines[[#This Row],[Description (Product)]]="",tblLines[[#This Row],[Rate 40Kg]]=""),"",tblLines[[#This Row],[Rate 40Kg]]/40*tblLines[[#This Row],[Pack Wt (KG)]])</f>
        <v>6625</v>
      </c>
      <c r="L11" s="182">
        <f>IF(OR(tblLines[[#This Row],[Rate / Pack]]="",tblLines[[#This Row],[Qty (Packs)]]=""),"",ROUND(tblLines[[#This Row],[Rate / Pack]]*tblLines[[#This Row],[Qty (Packs)]],0))</f>
        <v>1325000</v>
      </c>
      <c r="M11" s="183">
        <f>IF(tblLines[[#This Row],[Amount]]="","",tblLines[[#This Row],[Amount]]*IFERROR(INDEX(Products!$I$4:$I$500,MATCH(tblLines[[#This Row],[Description (Product)]],Products!$B$4:$B$500,0)),frmCommRate))</f>
        <v>4637.5</v>
      </c>
      <c r="N11" s="179">
        <f>IF(tblLines[[#This Row],[Qty (Packs)]]="","",tblLines[[#This Row],[Qty (Packs)]]*tblLines[[#This Row],[Pack Wt (KG)]])</f>
        <v>5000</v>
      </c>
      <c r="O11" s="168"/>
      <c r="P11" s="168"/>
      <c r="Q11" s="168"/>
      <c r="R11" s="168"/>
    </row>
    <row r="12" ht="19.95" customHeight="1" spans="1:18" x14ac:dyDescent="0.25">
      <c r="A12" s="177">
        <v>15</v>
      </c>
      <c r="B12" s="178">
        <v>46267</v>
      </c>
      <c r="C12" s="177" t="s">
        <v>10</v>
      </c>
      <c r="D12" s="177"/>
      <c r="E12" s="177" t="s">
        <v>13</v>
      </c>
      <c r="F12" s="177" t="s">
        <v>17</v>
      </c>
      <c r="G12" s="177" t="s">
        <v>27</v>
      </c>
      <c r="H12" s="179">
        <v>30</v>
      </c>
      <c r="I12" s="179">
        <v>8000</v>
      </c>
      <c r="J12" s="180">
        <f>IFERROR(INDEX(Products!$E$4:$E$500,MATCH(tblLines[[#This Row],[Description (Product)]],Products!$B$4:$B$500,0)),"")</f>
        <v>25</v>
      </c>
      <c r="K12" s="181">
        <f>IF(OR(tblLines[[#This Row],[Description (Product)]]="",tblLines[[#This Row],[Rate 40Kg]]=""),"",tblLines[[#This Row],[Rate 40Kg]]/40*tblLines[[#This Row],[Pack Wt (KG)]])</f>
        <v>5000</v>
      </c>
      <c r="L12" s="182">
        <f>IF(OR(tblLines[[#This Row],[Rate / Pack]]="",tblLines[[#This Row],[Qty (Packs)]]=""),"",ROUND(tblLines[[#This Row],[Rate / Pack]]*tblLines[[#This Row],[Qty (Packs)]],0))</f>
        <v>150000</v>
      </c>
      <c r="M12" s="183">
        <f>IF(tblLines[[#This Row],[Amount]]="","",tblLines[[#This Row],[Amount]]*IFERROR(INDEX(Products!$I$4:$I$500,MATCH(tblLines[[#This Row],[Description (Product)]],Products!$B$4:$B$500,0)),frmCommRate))</f>
        <v>525</v>
      </c>
      <c r="N12" s="179">
        <f>IF(tblLines[[#This Row],[Qty (Packs)]]="","",tblLines[[#This Row],[Qty (Packs)]]*tblLines[[#This Row],[Pack Wt (KG)]])</f>
        <v>750</v>
      </c>
      <c r="O12" s="168"/>
      <c r="P12" s="168"/>
      <c r="Q12" s="168"/>
      <c r="R12" s="168"/>
    </row>
    <row r="13" ht="19.95" customHeight="1" spans="1:18" x14ac:dyDescent="0.25">
      <c r="A13" s="177">
        <v>15</v>
      </c>
      <c r="B13" s="178">
        <v>46267</v>
      </c>
      <c r="C13" s="177" t="s">
        <v>10</v>
      </c>
      <c r="D13" s="177"/>
      <c r="E13" s="177" t="s">
        <v>13</v>
      </c>
      <c r="F13" s="177" t="s">
        <v>17</v>
      </c>
      <c r="G13" s="177" t="s">
        <v>28</v>
      </c>
      <c r="H13" s="179">
        <v>20</v>
      </c>
      <c r="I13" s="179">
        <v>16250</v>
      </c>
      <c r="J13" s="180">
        <f>IFERROR(INDEX(Products!$E$4:$E$500,MATCH(tblLines[[#This Row],[Description (Product)]],Products!$B$4:$B$500,0)),"")</f>
        <v>25</v>
      </c>
      <c r="K13" s="181">
        <f>IF(OR(tblLines[[#This Row],[Description (Product)]]="",tblLines[[#This Row],[Rate 40Kg]]=""),"",tblLines[[#This Row],[Rate 40Kg]]/40*tblLines[[#This Row],[Pack Wt (KG)]])</f>
        <v>10156.25</v>
      </c>
      <c r="L13" s="182">
        <f>IF(OR(tblLines[[#This Row],[Rate / Pack]]="",tblLines[[#This Row],[Qty (Packs)]]=""),"",ROUND(tblLines[[#This Row],[Rate / Pack]]*tblLines[[#This Row],[Qty (Packs)]],0))</f>
        <v>203125</v>
      </c>
      <c r="M13" s="183">
        <f>IF(tblLines[[#This Row],[Amount]]="","",tblLines[[#This Row],[Amount]]*IFERROR(INDEX(Products!$I$4:$I$500,MATCH(tblLines[[#This Row],[Description (Product)]],Products!$B$4:$B$500,0)),frmCommRate))</f>
        <v>710.9375</v>
      </c>
      <c r="N13" s="179">
        <f>IF(tblLines[[#This Row],[Qty (Packs)]]="","",tblLines[[#This Row],[Qty (Packs)]]*tblLines[[#This Row],[Pack Wt (KG)]])</f>
        <v>500</v>
      </c>
      <c r="O13" s="168"/>
      <c r="P13" s="168"/>
      <c r="Q13" s="168"/>
      <c r="R13" s="168"/>
    </row>
    <row r="14" ht="19.95" customHeight="1" spans="1:18" x14ac:dyDescent="0.25">
      <c r="A14" s="177">
        <v>15</v>
      </c>
      <c r="B14" s="178">
        <v>46267</v>
      </c>
      <c r="C14" s="177" t="s">
        <v>10</v>
      </c>
      <c r="D14" s="177"/>
      <c r="E14" s="177" t="s">
        <v>13</v>
      </c>
      <c r="F14" s="177" t="s">
        <v>17</v>
      </c>
      <c r="G14" s="177" t="s">
        <v>29</v>
      </c>
      <c r="H14" s="179">
        <v>30</v>
      </c>
      <c r="I14" s="179">
        <v>10250</v>
      </c>
      <c r="J14" s="180">
        <f>IFERROR(INDEX(Products!$E$4:$E$500,MATCH(tblLines[[#This Row],[Description (Product)]],Products!$B$4:$B$500,0)),"")</f>
        <v>25</v>
      </c>
      <c r="K14" s="181">
        <f>IF(OR(tblLines[[#This Row],[Description (Product)]]="",tblLines[[#This Row],[Rate 40Kg]]=""),"",tblLines[[#This Row],[Rate 40Kg]]/40*tblLines[[#This Row],[Pack Wt (KG)]])</f>
        <v>6406.25</v>
      </c>
      <c r="L14" s="182">
        <f>IF(OR(tblLines[[#This Row],[Rate / Pack]]="",tblLines[[#This Row],[Qty (Packs)]]=""),"",ROUND(tblLines[[#This Row],[Rate / Pack]]*tblLines[[#This Row],[Qty (Packs)]],0))</f>
        <v>192188</v>
      </c>
      <c r="M14" s="183">
        <f>IF(tblLines[[#This Row],[Amount]]="","",tblLines[[#This Row],[Amount]]*IFERROR(INDEX(Products!$I$4:$I$500,MATCH(tblLines[[#This Row],[Description (Product)]],Products!$B$4:$B$500,0)),frmCommRate))</f>
        <v>672.658</v>
      </c>
      <c r="N14" s="179">
        <f>IF(tblLines[[#This Row],[Qty (Packs)]]="","",tblLines[[#This Row],[Qty (Packs)]]*tblLines[[#This Row],[Pack Wt (KG)]])</f>
        <v>750</v>
      </c>
      <c r="O14" s="168"/>
      <c r="P14" s="168"/>
      <c r="Q14" s="168"/>
      <c r="R14" s="168"/>
    </row>
    <row r="15" ht="19.95" customHeight="1" spans="1:18" x14ac:dyDescent="0.25">
      <c r="A15" s="177">
        <v>15</v>
      </c>
      <c r="B15" s="178">
        <v>46267</v>
      </c>
      <c r="C15" s="177" t="s">
        <v>10</v>
      </c>
      <c r="D15" s="177"/>
      <c r="E15" s="177" t="s">
        <v>13</v>
      </c>
      <c r="F15" s="177" t="s">
        <v>17</v>
      </c>
      <c r="G15" s="177" t="s">
        <v>30</v>
      </c>
      <c r="H15" s="179">
        <v>20</v>
      </c>
      <c r="I15" s="179">
        <v>8400</v>
      </c>
      <c r="J15" s="180">
        <f>IFERROR(INDEX(Products!$E$4:$E$500,MATCH(tblLines[[#This Row],[Description (Product)]],Products!$B$4:$B$500,0)),"")</f>
        <v>25</v>
      </c>
      <c r="K15" s="181">
        <f>IF(OR(tblLines[[#This Row],[Description (Product)]]="",tblLines[[#This Row],[Rate 40Kg]]=""),"",tblLines[[#This Row],[Rate 40Kg]]/40*tblLines[[#This Row],[Pack Wt (KG)]])</f>
        <v>5250</v>
      </c>
      <c r="L15" s="182">
        <f>IF(OR(tblLines[[#This Row],[Rate / Pack]]="",tblLines[[#This Row],[Qty (Packs)]]=""),"",ROUND(tblLines[[#This Row],[Rate / Pack]]*tblLines[[#This Row],[Qty (Packs)]],0))</f>
        <v>105000</v>
      </c>
      <c r="M15" s="183">
        <f>IF(tblLines[[#This Row],[Amount]]="","",tblLines[[#This Row],[Amount]]*IFERROR(INDEX(Products!$I$4:$I$500,MATCH(tblLines[[#This Row],[Description (Product)]],Products!$B$4:$B$500,0)),frmCommRate))</f>
        <v>367.5</v>
      </c>
      <c r="N15" s="179">
        <f>IF(tblLines[[#This Row],[Qty (Packs)]]="","",tblLines[[#This Row],[Qty (Packs)]]*tblLines[[#This Row],[Pack Wt (KG)]])</f>
        <v>500</v>
      </c>
      <c r="O15" s="168"/>
      <c r="P15" s="168"/>
      <c r="Q15" s="168"/>
      <c r="R15" s="168"/>
    </row>
    <row r="16" ht="19.95" customHeight="1" spans="1:18" x14ac:dyDescent="0.25">
      <c r="A16" s="177">
        <v>15</v>
      </c>
      <c r="B16" s="178">
        <v>46267</v>
      </c>
      <c r="C16" s="177" t="s">
        <v>10</v>
      </c>
      <c r="D16" s="177"/>
      <c r="E16" s="177" t="s">
        <v>13</v>
      </c>
      <c r="F16" s="177" t="s">
        <v>17</v>
      </c>
      <c r="G16" s="177" t="s">
        <v>31</v>
      </c>
      <c r="H16" s="179">
        <v>100</v>
      </c>
      <c r="I16" s="179">
        <v>9950</v>
      </c>
      <c r="J16" s="180">
        <f>IFERROR(INDEX(Products!$E$4:$E$500,MATCH(tblLines[[#This Row],[Description (Product)]],Products!$B$4:$B$500,0)),"")</f>
        <v>25</v>
      </c>
      <c r="K16" s="181">
        <f>IF(OR(tblLines[[#This Row],[Description (Product)]]="",tblLines[[#This Row],[Rate 40Kg]]=""),"",tblLines[[#This Row],[Rate 40Kg]]/40*tblLines[[#This Row],[Pack Wt (KG)]])</f>
        <v>6218.75</v>
      </c>
      <c r="L16" s="182">
        <f>IF(OR(tblLines[[#This Row],[Rate / Pack]]="",tblLines[[#This Row],[Qty (Packs)]]=""),"",ROUND(tblLines[[#This Row],[Rate / Pack]]*tblLines[[#This Row],[Qty (Packs)]],0))</f>
        <v>621875</v>
      </c>
      <c r="M16" s="183">
        <f>IF(tblLines[[#This Row],[Amount]]="","",tblLines[[#This Row],[Amount]]*IFERROR(INDEX(Products!$I$4:$I$500,MATCH(tblLines[[#This Row],[Description (Product)]],Products!$B$4:$B$500,0)),frmCommRate))</f>
        <v>2176.5625</v>
      </c>
      <c r="N16" s="179">
        <f>IF(tblLines[[#This Row],[Qty (Packs)]]="","",tblLines[[#This Row],[Qty (Packs)]]*tblLines[[#This Row],[Pack Wt (KG)]])</f>
        <v>2500</v>
      </c>
      <c r="O16" s="168"/>
      <c r="P16" s="168"/>
      <c r="Q16" s="168"/>
      <c r="R16" s="168"/>
    </row>
    <row r="17" ht="19.95" customHeight="1" spans="1:18" x14ac:dyDescent="0.25">
      <c r="A17" s="177">
        <v>16</v>
      </c>
      <c r="B17" s="178">
        <v>46267</v>
      </c>
      <c r="C17" s="177" t="s">
        <v>108</v>
      </c>
      <c r="D17" s="177"/>
      <c r="E17" s="177" t="s">
        <v>109</v>
      </c>
      <c r="F17" s="177" t="s">
        <v>17</v>
      </c>
      <c r="G17" s="177" t="s">
        <v>82</v>
      </c>
      <c r="H17" s="179">
        <v>200</v>
      </c>
      <c r="I17" s="179">
        <v>13700</v>
      </c>
      <c r="J17" s="180">
        <f>IFERROR(INDEX(Products!$E$4:$E$500,MATCH(tblLines[[#This Row],[Description (Product)]],Products!$B$4:$B$500,0)),"")</f>
        <v>25</v>
      </c>
      <c r="K17" s="181">
        <f>IF(OR(tblLines[[#This Row],[Description (Product)]]="",tblLines[[#This Row],[Rate 40Kg]]=""),"",tblLines[[#This Row],[Rate 40Kg]]/40*tblLines[[#This Row],[Pack Wt (KG)]])</f>
        <v>8562.5</v>
      </c>
      <c r="L17" s="182">
        <f>IF(OR(tblLines[[#This Row],[Rate / Pack]]="",tblLines[[#This Row],[Qty (Packs)]]=""),"",ROUND(tblLines[[#This Row],[Rate / Pack]]*tblLines[[#This Row],[Qty (Packs)]],0))</f>
        <v>1712500</v>
      </c>
      <c r="M17" s="183">
        <f>IF(tblLines[[#This Row],[Amount]]="","",tblLines[[#This Row],[Amount]]*IFERROR(INDEX(Products!$I$4:$I$500,MATCH(tblLines[[#This Row],[Description (Product)]],Products!$B$4:$B$500,0)),frmCommRate))</f>
        <v>5993.75</v>
      </c>
      <c r="N17" s="179">
        <f>IF(tblLines[[#This Row],[Qty (Packs)]]="","",tblLines[[#This Row],[Qty (Packs)]]*tblLines[[#This Row],[Pack Wt (KG)]])</f>
        <v>5000</v>
      </c>
      <c r="O17" s="168"/>
      <c r="P17" s="168"/>
      <c r="Q17" s="168"/>
      <c r="R17" s="168"/>
    </row>
    <row r="18" ht="19.95" customHeight="1" spans="1:18" x14ac:dyDescent="0.25">
      <c r="A18" s="177">
        <v>16</v>
      </c>
      <c r="B18" s="178">
        <v>46267</v>
      </c>
      <c r="C18" s="177" t="s">
        <v>108</v>
      </c>
      <c r="D18" s="177"/>
      <c r="E18" s="177" t="s">
        <v>109</v>
      </c>
      <c r="F18" s="177" t="s">
        <v>17</v>
      </c>
      <c r="G18" s="177" t="s">
        <v>86</v>
      </c>
      <c r="H18" s="179">
        <v>50</v>
      </c>
      <c r="I18" s="179">
        <v>9000</v>
      </c>
      <c r="J18" s="180">
        <f>IFERROR(INDEX(Products!$E$4:$E$500,MATCH(tblLines[[#This Row],[Description (Product)]],Products!$B$4:$B$500,0)),"")</f>
        <v>25</v>
      </c>
      <c r="K18" s="181">
        <f>IF(OR(tblLines[[#This Row],[Description (Product)]]="",tblLines[[#This Row],[Rate 40Kg]]=""),"",tblLines[[#This Row],[Rate 40Kg]]/40*tblLines[[#This Row],[Pack Wt (KG)]])</f>
        <v>5625</v>
      </c>
      <c r="L18" s="182">
        <f>IF(OR(tblLines[[#This Row],[Rate / Pack]]="",tblLines[[#This Row],[Qty (Packs)]]=""),"",ROUND(tblLines[[#This Row],[Rate / Pack]]*tblLines[[#This Row],[Qty (Packs)]],0))</f>
        <v>281250</v>
      </c>
      <c r="M18" s="183">
        <f>IF(tblLines[[#This Row],[Amount]]="","",tblLines[[#This Row],[Amount]]*IFERROR(INDEX(Products!$I$4:$I$500,MATCH(tblLines[[#This Row],[Description (Product)]],Products!$B$4:$B$500,0)),frmCommRate))</f>
        <v>984.375</v>
      </c>
      <c r="N18" s="179">
        <f>IF(tblLines[[#This Row],[Qty (Packs)]]="","",tblLines[[#This Row],[Qty (Packs)]]*tblLines[[#This Row],[Pack Wt (KG)]])</f>
        <v>1250</v>
      </c>
      <c r="O18" s="168"/>
      <c r="P18" s="168"/>
      <c r="Q18" s="168"/>
      <c r="R18" s="168"/>
    </row>
    <row r="19" ht="19.95" customHeight="1" spans="1:18" x14ac:dyDescent="0.25">
      <c r="A19" s="177">
        <v>16</v>
      </c>
      <c r="B19" s="178">
        <v>46267</v>
      </c>
      <c r="C19" s="177" t="s">
        <v>108</v>
      </c>
      <c r="D19" s="177"/>
      <c r="E19" s="177" t="s">
        <v>109</v>
      </c>
      <c r="F19" s="177" t="s">
        <v>17</v>
      </c>
      <c r="G19" s="177" t="s">
        <v>74</v>
      </c>
      <c r="H19" s="179">
        <v>130</v>
      </c>
      <c r="I19" s="179">
        <v>7850</v>
      </c>
      <c r="J19" s="180">
        <f>IFERROR(INDEX(Products!$E$4:$E$500,MATCH(tblLines[[#This Row],[Description (Product)]],Products!$B$4:$B$500,0)),"")</f>
        <v>25</v>
      </c>
      <c r="K19" s="181">
        <f>IF(OR(tblLines[[#This Row],[Description (Product)]]="",tblLines[[#This Row],[Rate 40Kg]]=""),"",tblLines[[#This Row],[Rate 40Kg]]/40*tblLines[[#This Row],[Pack Wt (KG)]])</f>
        <v>4906.25</v>
      </c>
      <c r="L19" s="182">
        <f>IF(OR(tblLines[[#This Row],[Rate / Pack]]="",tblLines[[#This Row],[Qty (Packs)]]=""),"",ROUND(tblLines[[#This Row],[Rate / Pack]]*tblLines[[#This Row],[Qty (Packs)]],0))</f>
        <v>637813</v>
      </c>
      <c r="M19" s="183">
        <f>IF(tblLines[[#This Row],[Amount]]="","",tblLines[[#This Row],[Amount]]*IFERROR(INDEX(Products!$I$4:$I$500,MATCH(tblLines[[#This Row],[Description (Product)]],Products!$B$4:$B$500,0)),frmCommRate))</f>
        <v>2232.3455</v>
      </c>
      <c r="N19" s="179">
        <f>IF(tblLines[[#This Row],[Qty (Packs)]]="","",tblLines[[#This Row],[Qty (Packs)]]*tblLines[[#This Row],[Pack Wt (KG)]])</f>
        <v>3250</v>
      </c>
      <c r="O19" s="168"/>
      <c r="P19" s="168"/>
      <c r="Q19" s="168"/>
      <c r="R19" s="168"/>
    </row>
    <row r="20" ht="19.95" customHeight="1" spans="1:18" x14ac:dyDescent="0.25">
      <c r="A20" s="177">
        <v>16</v>
      </c>
      <c r="B20" s="178">
        <v>46267</v>
      </c>
      <c r="C20" s="177" t="s">
        <v>108</v>
      </c>
      <c r="D20" s="177"/>
      <c r="E20" s="177" t="s">
        <v>109</v>
      </c>
      <c r="F20" s="177" t="s">
        <v>17</v>
      </c>
      <c r="G20" s="177" t="s">
        <v>72</v>
      </c>
      <c r="H20" s="179">
        <v>50</v>
      </c>
      <c r="I20" s="179">
        <v>12900</v>
      </c>
      <c r="J20" s="180">
        <f>IFERROR(INDEX(Products!$E$4:$E$500,MATCH(tblLines[[#This Row],[Description (Product)]],Products!$B$4:$B$500,0)),"")</f>
        <v>25</v>
      </c>
      <c r="K20" s="181">
        <f>IF(OR(tblLines[[#This Row],[Description (Product)]]="",tblLines[[#This Row],[Rate 40Kg]]=""),"",tblLines[[#This Row],[Rate 40Kg]]/40*tblLines[[#This Row],[Pack Wt (KG)]])</f>
        <v>8062.5</v>
      </c>
      <c r="L20" s="182">
        <f>IF(OR(tblLines[[#This Row],[Rate / Pack]]="",tblLines[[#This Row],[Qty (Packs)]]=""),"",ROUND(tblLines[[#This Row],[Rate / Pack]]*tblLines[[#This Row],[Qty (Packs)]],0))</f>
        <v>403125</v>
      </c>
      <c r="M20" s="183">
        <f>IF(tblLines[[#This Row],[Amount]]="","",tblLines[[#This Row],[Amount]]*IFERROR(INDEX(Products!$I$4:$I$500,MATCH(tblLines[[#This Row],[Description (Product)]],Products!$B$4:$B$500,0)),frmCommRate))</f>
        <v>1410.9375</v>
      </c>
      <c r="N20" s="179">
        <f>IF(tblLines[[#This Row],[Qty (Packs)]]="","",tblLines[[#This Row],[Qty (Packs)]]*tblLines[[#This Row],[Pack Wt (KG)]])</f>
        <v>1250</v>
      </c>
      <c r="O20" s="168"/>
      <c r="P20" s="168"/>
      <c r="Q20" s="168"/>
      <c r="R20" s="168"/>
    </row>
    <row r="21" ht="19.95" customHeight="1" spans="1:18" x14ac:dyDescent="0.25">
      <c r="A21" s="177">
        <v>16</v>
      </c>
      <c r="B21" s="178">
        <v>46267</v>
      </c>
      <c r="C21" s="177" t="s">
        <v>108</v>
      </c>
      <c r="D21" s="177"/>
      <c r="E21" s="177" t="s">
        <v>109</v>
      </c>
      <c r="F21" s="177" t="s">
        <v>17</v>
      </c>
      <c r="G21" s="177" t="s">
        <v>76</v>
      </c>
      <c r="H21" s="179">
        <v>130</v>
      </c>
      <c r="I21" s="179">
        <v>6050</v>
      </c>
      <c r="J21" s="180">
        <f>IFERROR(INDEX(Products!$E$4:$E$500,MATCH(tblLines[[#This Row],[Description (Product)]],Products!$B$4:$B$500,0)),"")</f>
        <v>25</v>
      </c>
      <c r="K21" s="181">
        <f>IF(OR(tblLines[[#This Row],[Description (Product)]]="",tblLines[[#This Row],[Rate 40Kg]]=""),"",tblLines[[#This Row],[Rate 40Kg]]/40*tblLines[[#This Row],[Pack Wt (KG)]])</f>
        <v>3781.25</v>
      </c>
      <c r="L21" s="182">
        <f>IF(OR(tblLines[[#This Row],[Rate / Pack]]="",tblLines[[#This Row],[Qty (Packs)]]=""),"",ROUND(tblLines[[#This Row],[Rate / Pack]]*tblLines[[#This Row],[Qty (Packs)]],0))</f>
        <v>491563</v>
      </c>
      <c r="M21" s="183">
        <f>IF(tblLines[[#This Row],[Amount]]="","",tblLines[[#This Row],[Amount]]*IFERROR(INDEX(Products!$I$4:$I$500,MATCH(tblLines[[#This Row],[Description (Product)]],Products!$B$4:$B$500,0)),frmCommRate))</f>
        <v>1720.4705000000001</v>
      </c>
      <c r="N21" s="179">
        <f>IF(tblLines[[#This Row],[Qty (Packs)]]="","",tblLines[[#This Row],[Qty (Packs)]]*tblLines[[#This Row],[Pack Wt (KG)]])</f>
        <v>3250</v>
      </c>
      <c r="O21" s="168"/>
      <c r="P21" s="168"/>
      <c r="Q21" s="168"/>
      <c r="R21" s="168"/>
    </row>
    <row r="22" ht="19.95" customHeight="1" spans="1:18" x14ac:dyDescent="0.25">
      <c r="A22" s="177">
        <v>16</v>
      </c>
      <c r="B22" s="178">
        <v>46267</v>
      </c>
      <c r="C22" s="177" t="s">
        <v>108</v>
      </c>
      <c r="D22" s="177"/>
      <c r="E22" s="177" t="s">
        <v>109</v>
      </c>
      <c r="F22" s="177" t="s">
        <v>17</v>
      </c>
      <c r="G22" s="177" t="s">
        <v>84</v>
      </c>
      <c r="H22" s="179">
        <v>50</v>
      </c>
      <c r="I22" s="179">
        <v>9900</v>
      </c>
      <c r="J22" s="180">
        <f>IFERROR(INDEX(Products!$E$4:$E$500,MATCH(tblLines[[#This Row],[Description (Product)]],Products!$B$4:$B$500,0)),"")</f>
        <v>25</v>
      </c>
      <c r="K22" s="181">
        <f>IF(OR(tblLines[[#This Row],[Description (Product)]]="",tblLines[[#This Row],[Rate 40Kg]]=""),"",tblLines[[#This Row],[Rate 40Kg]]/40*tblLines[[#This Row],[Pack Wt (KG)]])</f>
        <v>6187.5</v>
      </c>
      <c r="L22" s="182">
        <f>IF(OR(tblLines[[#This Row],[Rate / Pack]]="",tblLines[[#This Row],[Qty (Packs)]]=""),"",ROUND(tblLines[[#This Row],[Rate / Pack]]*tblLines[[#This Row],[Qty (Packs)]],0))</f>
        <v>309375</v>
      </c>
      <c r="M22" s="183">
        <f>IF(tblLines[[#This Row],[Amount]]="","",tblLines[[#This Row],[Amount]]*IFERROR(INDEX(Products!$I$4:$I$500,MATCH(tblLines[[#This Row],[Description (Product)]],Products!$B$4:$B$500,0)),frmCommRate))</f>
        <v>1082.8125</v>
      </c>
      <c r="N22" s="179">
        <f>IF(tblLines[[#This Row],[Qty (Packs)]]="","",tblLines[[#This Row],[Qty (Packs)]]*tblLines[[#This Row],[Pack Wt (KG)]])</f>
        <v>1250</v>
      </c>
      <c r="O22" s="168"/>
      <c r="P22" s="168"/>
      <c r="Q22" s="168"/>
      <c r="R22" s="168"/>
    </row>
    <row r="23" ht="19.95" customHeight="1" spans="1:18" x14ac:dyDescent="0.25">
      <c r="A23" s="177">
        <v>16</v>
      </c>
      <c r="B23" s="178">
        <v>46267</v>
      </c>
      <c r="C23" s="177" t="s">
        <v>108</v>
      </c>
      <c r="D23" s="177"/>
      <c r="E23" s="177" t="s">
        <v>109</v>
      </c>
      <c r="F23" s="177" t="s">
        <v>17</v>
      </c>
      <c r="G23" s="177" t="s">
        <v>88</v>
      </c>
      <c r="H23" s="179">
        <v>90</v>
      </c>
      <c r="I23" s="179">
        <v>10800</v>
      </c>
      <c r="J23" s="180">
        <f>IFERROR(INDEX(Products!$E$4:$E$500,MATCH(tblLines[[#This Row],[Description (Product)]],Products!$B$4:$B$500,0)),"")</f>
        <v>25</v>
      </c>
      <c r="K23" s="181">
        <f>IF(OR(tblLines[[#This Row],[Description (Product)]]="",tblLines[[#This Row],[Rate 40Kg]]=""),"",tblLines[[#This Row],[Rate 40Kg]]/40*tblLines[[#This Row],[Pack Wt (KG)]])</f>
        <v>6750</v>
      </c>
      <c r="L23" s="182">
        <f>IF(OR(tblLines[[#This Row],[Rate / Pack]]="",tblLines[[#This Row],[Qty (Packs)]]=""),"",ROUND(tblLines[[#This Row],[Rate / Pack]]*tblLines[[#This Row],[Qty (Packs)]],0))</f>
        <v>607500</v>
      </c>
      <c r="M23" s="183">
        <f>IF(tblLines[[#This Row],[Amount]]="","",tblLines[[#This Row],[Amount]]*IFERROR(INDEX(Products!$I$4:$I$500,MATCH(tblLines[[#This Row],[Description (Product)]],Products!$B$4:$B$500,0)),frmCommRate))</f>
        <v>2126.25</v>
      </c>
      <c r="N23" s="179">
        <f>IF(tblLines[[#This Row],[Qty (Packs)]]="","",tblLines[[#This Row],[Qty (Packs)]]*tblLines[[#This Row],[Pack Wt (KG)]])</f>
        <v>2250</v>
      </c>
      <c r="O23" s="168"/>
      <c r="P23" s="168"/>
      <c r="Q23" s="168"/>
      <c r="R23" s="168"/>
    </row>
    <row r="24" ht="19.95" customHeight="1" spans="1:18" x14ac:dyDescent="0.25">
      <c r="A24" s="177">
        <v>16</v>
      </c>
      <c r="B24" s="178">
        <v>46267</v>
      </c>
      <c r="C24" s="177" t="s">
        <v>108</v>
      </c>
      <c r="D24" s="177"/>
      <c r="E24" s="177" t="s">
        <v>109</v>
      </c>
      <c r="F24" s="177" t="s">
        <v>17</v>
      </c>
      <c r="G24" s="177" t="s">
        <v>78</v>
      </c>
      <c r="H24" s="179">
        <v>30</v>
      </c>
      <c r="I24" s="179">
        <v>12700</v>
      </c>
      <c r="J24" s="180">
        <f>IFERROR(INDEX(Products!$E$4:$E$500,MATCH(tblLines[[#This Row],[Description (Product)]],Products!$B$4:$B$500,0)),"")</f>
        <v>25</v>
      </c>
      <c r="K24" s="181">
        <f>IF(OR(tblLines[[#This Row],[Description (Product)]]="",tblLines[[#This Row],[Rate 40Kg]]=""),"",tblLines[[#This Row],[Rate 40Kg]]/40*tblLines[[#This Row],[Pack Wt (KG)]])</f>
        <v>7937.5</v>
      </c>
      <c r="L24" s="182">
        <f>IF(OR(tblLines[[#This Row],[Rate / Pack]]="",tblLines[[#This Row],[Qty (Packs)]]=""),"",ROUND(tblLines[[#This Row],[Rate / Pack]]*tblLines[[#This Row],[Qty (Packs)]],0))</f>
        <v>238125</v>
      </c>
      <c r="M24" s="183">
        <f>IF(tblLines[[#This Row],[Amount]]="","",tblLines[[#This Row],[Amount]]*IFERROR(INDEX(Products!$I$4:$I$500,MATCH(tblLines[[#This Row],[Description (Product)]],Products!$B$4:$B$500,0)),frmCommRate))</f>
        <v>833.4375</v>
      </c>
      <c r="N24" s="179">
        <f>IF(tblLines[[#This Row],[Qty (Packs)]]="","",tblLines[[#This Row],[Qty (Packs)]]*tblLines[[#This Row],[Pack Wt (KG)]])</f>
        <v>750</v>
      </c>
      <c r="O24" s="168"/>
      <c r="P24" s="168"/>
      <c r="Q24" s="168"/>
      <c r="R24" s="168"/>
    </row>
    <row r="25" ht="19.95" customHeight="1" spans="1:18" x14ac:dyDescent="0.25">
      <c r="A25" s="177">
        <v>28</v>
      </c>
      <c r="B25" s="178">
        <v>46268</v>
      </c>
      <c r="C25" s="177" t="s">
        <v>110</v>
      </c>
      <c r="D25" s="177"/>
      <c r="E25" s="177" t="s">
        <v>111</v>
      </c>
      <c r="F25" s="177" t="s">
        <v>17</v>
      </c>
      <c r="G25" s="177" t="s">
        <v>82</v>
      </c>
      <c r="H25" s="179">
        <v>76</v>
      </c>
      <c r="I25" s="179">
        <v>13701</v>
      </c>
      <c r="J25" s="180">
        <f>IFERROR(INDEX(Products!$E$4:$E$500,MATCH(tblLines[[#This Row],[Description (Product)]],Products!$B$4:$B$500,0)),"")</f>
        <v>25</v>
      </c>
      <c r="K25" s="181">
        <f>IF(OR(tblLines[[#This Row],[Description (Product)]]="",tblLines[[#This Row],[Rate 40Kg]]=""),"",tblLines[[#This Row],[Rate 40Kg]]/40*tblLines[[#This Row],[Pack Wt (KG)]])</f>
        <v>8563.125</v>
      </c>
      <c r="L25" s="182">
        <f>IF(OR(tblLines[[#This Row],[Rate / Pack]]="",tblLines[[#This Row],[Qty (Packs)]]=""),"",ROUND(tblLines[[#This Row],[Rate / Pack]]*tblLines[[#This Row],[Qty (Packs)]],0))</f>
        <v>650798</v>
      </c>
      <c r="M25" s="183">
        <f>IF(tblLines[[#This Row],[Amount]]="","",tblLines[[#This Row],[Amount]]*IFERROR(INDEX(Products!$I$4:$I$500,MATCH(tblLines[[#This Row],[Description (Product)]],Products!$B$4:$B$500,0)),frmCommRate))</f>
        <v>2277.793</v>
      </c>
      <c r="N25" s="179">
        <f>IF(tblLines[[#This Row],[Qty (Packs)]]="","",tblLines[[#This Row],[Qty (Packs)]]*tblLines[[#This Row],[Pack Wt (KG)]])</f>
        <v>1900</v>
      </c>
      <c r="O25" s="168"/>
      <c r="P25" s="168"/>
      <c r="Q25" s="168"/>
      <c r="R25" s="168"/>
    </row>
    <row r="26" ht="19.95" customHeight="1" spans="1:18" x14ac:dyDescent="0.25">
      <c r="A26" s="177">
        <v>28</v>
      </c>
      <c r="B26" s="178">
        <v>46268</v>
      </c>
      <c r="C26" s="177" t="s">
        <v>110</v>
      </c>
      <c r="D26" s="177"/>
      <c r="E26" s="177" t="s">
        <v>111</v>
      </c>
      <c r="F26" s="177" t="s">
        <v>17</v>
      </c>
      <c r="G26" s="177" t="s">
        <v>88</v>
      </c>
      <c r="H26" s="179">
        <v>300</v>
      </c>
      <c r="I26" s="179">
        <v>10800</v>
      </c>
      <c r="J26" s="180">
        <f>IFERROR(INDEX(Products!$E$4:$E$500,MATCH(tblLines[[#This Row],[Description (Product)]],Products!$B$4:$B$500,0)),"")</f>
        <v>25</v>
      </c>
      <c r="K26" s="181">
        <f>IF(OR(tblLines[[#This Row],[Description (Product)]]="",tblLines[[#This Row],[Rate 40Kg]]=""),"",tblLines[[#This Row],[Rate 40Kg]]/40*tblLines[[#This Row],[Pack Wt (KG)]])</f>
        <v>6750</v>
      </c>
      <c r="L26" s="182">
        <f>IF(OR(tblLines[[#This Row],[Rate / Pack]]="",tblLines[[#This Row],[Qty (Packs)]]=""),"",ROUND(tblLines[[#This Row],[Rate / Pack]]*tblLines[[#This Row],[Qty (Packs)]],0))</f>
        <v>2025000</v>
      </c>
      <c r="M26" s="183">
        <f>IF(tblLines[[#This Row],[Amount]]="","",tblLines[[#This Row],[Amount]]*IFERROR(INDEX(Products!$I$4:$I$500,MATCH(tblLines[[#This Row],[Description (Product)]],Products!$B$4:$B$500,0)),frmCommRate))</f>
        <v>7087.5</v>
      </c>
      <c r="N26" s="179">
        <f>IF(tblLines[[#This Row],[Qty (Packs)]]="","",tblLines[[#This Row],[Qty (Packs)]]*tblLines[[#This Row],[Pack Wt (KG)]])</f>
        <v>7500</v>
      </c>
      <c r="O26" s="168"/>
      <c r="P26" s="168"/>
      <c r="Q26" s="168"/>
      <c r="R26" s="168"/>
    </row>
    <row r="27" ht="19.95" customHeight="1" spans="1:18" x14ac:dyDescent="0.25">
      <c r="A27" s="177">
        <v>28</v>
      </c>
      <c r="B27" s="178">
        <v>46268</v>
      </c>
      <c r="C27" s="177" t="s">
        <v>110</v>
      </c>
      <c r="D27" s="177"/>
      <c r="E27" s="177" t="s">
        <v>111</v>
      </c>
      <c r="F27" s="177" t="s">
        <v>17</v>
      </c>
      <c r="G27" s="177" t="s">
        <v>74</v>
      </c>
      <c r="H27" s="179">
        <v>30</v>
      </c>
      <c r="I27" s="179">
        <v>7850</v>
      </c>
      <c r="J27" s="180">
        <f>IFERROR(INDEX(Products!$E$4:$E$500,MATCH(tblLines[[#This Row],[Description (Product)]],Products!$B$4:$B$500,0)),"")</f>
        <v>25</v>
      </c>
      <c r="K27" s="181">
        <f>IF(OR(tblLines[[#This Row],[Description (Product)]]="",tblLines[[#This Row],[Rate 40Kg]]=""),"",tblLines[[#This Row],[Rate 40Kg]]/40*tblLines[[#This Row],[Pack Wt (KG)]])</f>
        <v>4906.25</v>
      </c>
      <c r="L27" s="182">
        <f>IF(OR(tblLines[[#This Row],[Rate / Pack]]="",tblLines[[#This Row],[Qty (Packs)]]=""),"",ROUND(tblLines[[#This Row],[Rate / Pack]]*tblLines[[#This Row],[Qty (Packs)]],0))</f>
        <v>147188</v>
      </c>
      <c r="M27" s="183">
        <f>IF(tblLines[[#This Row],[Amount]]="","",tblLines[[#This Row],[Amount]]*IFERROR(INDEX(Products!$I$4:$I$500,MATCH(tblLines[[#This Row],[Description (Product)]],Products!$B$4:$B$500,0)),frmCommRate))</f>
        <v>515.158</v>
      </c>
      <c r="N27" s="179">
        <f>IF(tblLines[[#This Row],[Qty (Packs)]]="","",tblLines[[#This Row],[Qty (Packs)]]*tblLines[[#This Row],[Pack Wt (KG)]])</f>
        <v>750</v>
      </c>
      <c r="O27" s="168"/>
      <c r="P27" s="168"/>
      <c r="Q27" s="168"/>
      <c r="R27" s="168"/>
    </row>
    <row r="28" ht="19.95" customHeight="1" spans="1:18" x14ac:dyDescent="0.25">
      <c r="A28" s="177">
        <v>28</v>
      </c>
      <c r="B28" s="178">
        <v>46268</v>
      </c>
      <c r="C28" s="177" t="s">
        <v>110</v>
      </c>
      <c r="D28" s="177"/>
      <c r="E28" s="177" t="s">
        <v>111</v>
      </c>
      <c r="F28" s="177" t="s">
        <v>17</v>
      </c>
      <c r="G28" s="177" t="s">
        <v>80</v>
      </c>
      <c r="H28" s="179">
        <v>5</v>
      </c>
      <c r="I28" s="179">
        <v>14400</v>
      </c>
      <c r="J28" s="180">
        <f>IFERROR(INDEX(Products!$E$4:$E$500,MATCH(tblLines[[#This Row],[Description (Product)]],Products!$B$4:$B$500,0)),"")</f>
        <v>20</v>
      </c>
      <c r="K28" s="181">
        <f>IF(OR(tblLines[[#This Row],[Description (Product)]]="",tblLines[[#This Row],[Rate 40Kg]]=""),"",tblLines[[#This Row],[Rate 40Kg]]/40*tblLines[[#This Row],[Pack Wt (KG)]])</f>
        <v>7200</v>
      </c>
      <c r="L28" s="182">
        <f>IF(OR(tblLines[[#This Row],[Rate / Pack]]="",tblLines[[#This Row],[Qty (Packs)]]=""),"",ROUND(tblLines[[#This Row],[Rate / Pack]]*tblLines[[#This Row],[Qty (Packs)]],0))</f>
        <v>36000</v>
      </c>
      <c r="M28" s="183">
        <f>IF(tblLines[[#This Row],[Amount]]="","",tblLines[[#This Row],[Amount]]*IFERROR(INDEX(Products!$I$4:$I$500,MATCH(tblLines[[#This Row],[Description (Product)]],Products!$B$4:$B$500,0)),frmCommRate))</f>
        <v>126</v>
      </c>
      <c r="N28" s="179">
        <f>IF(tblLines[[#This Row],[Qty (Packs)]]="","",tblLines[[#This Row],[Qty (Packs)]]*tblLines[[#This Row],[Pack Wt (KG)]])</f>
        <v>100</v>
      </c>
      <c r="O28" s="168"/>
      <c r="P28" s="168"/>
      <c r="Q28" s="168"/>
      <c r="R28" s="168"/>
    </row>
    <row r="29" ht="19.95" customHeight="1" spans="1:18" x14ac:dyDescent="0.25">
      <c r="A29" s="177">
        <v>29</v>
      </c>
      <c r="B29" s="178">
        <v>46268</v>
      </c>
      <c r="C29" s="177" t="s">
        <v>112</v>
      </c>
      <c r="D29" s="177"/>
      <c r="E29" s="177" t="s">
        <v>111</v>
      </c>
      <c r="F29" s="177" t="s">
        <v>17</v>
      </c>
      <c r="G29" s="177" t="s">
        <v>70</v>
      </c>
      <c r="H29" s="179">
        <v>30</v>
      </c>
      <c r="I29" s="179">
        <v>10200</v>
      </c>
      <c r="J29" s="180">
        <f>IFERROR(INDEX(Products!$E$4:$E$500,MATCH(tblLines[[#This Row],[Description (Product)]],Products!$B$4:$B$500,0)),"")</f>
        <v>25</v>
      </c>
      <c r="K29" s="181">
        <f>IF(OR(tblLines[[#This Row],[Description (Product)]]="",tblLines[[#This Row],[Rate 40Kg]]=""),"",tblLines[[#This Row],[Rate 40Kg]]/40*tblLines[[#This Row],[Pack Wt (KG)]])</f>
        <v>6375</v>
      </c>
      <c r="L29" s="182">
        <f>IF(OR(tblLines[[#This Row],[Rate / Pack]]="",tblLines[[#This Row],[Qty (Packs)]]=""),"",ROUND(tblLines[[#This Row],[Rate / Pack]]*tblLines[[#This Row],[Qty (Packs)]],0))</f>
        <v>191250</v>
      </c>
      <c r="M29" s="183">
        <f>IF(tblLines[[#This Row],[Amount]]="","",tblLines[[#This Row],[Amount]]*IFERROR(INDEX(Products!$I$4:$I$500,MATCH(tblLines[[#This Row],[Description (Product)]],Products!$B$4:$B$500,0)),frmCommRate))</f>
        <v>669.375</v>
      </c>
      <c r="N29" s="179">
        <f>IF(tblLines[[#This Row],[Qty (Packs)]]="","",tblLines[[#This Row],[Qty (Packs)]]*tblLines[[#This Row],[Pack Wt (KG)]])</f>
        <v>750</v>
      </c>
      <c r="O29" s="168"/>
      <c r="P29" s="168"/>
      <c r="Q29" s="168"/>
      <c r="R29" s="168"/>
    </row>
    <row r="30" ht="19.95" customHeight="1" spans="1:18" x14ac:dyDescent="0.25">
      <c r="A30" s="177">
        <v>29</v>
      </c>
      <c r="B30" s="178">
        <v>46268</v>
      </c>
      <c r="C30" s="177" t="s">
        <v>112</v>
      </c>
      <c r="D30" s="177"/>
      <c r="E30" s="177" t="s">
        <v>111</v>
      </c>
      <c r="F30" s="177" t="s">
        <v>17</v>
      </c>
      <c r="G30" s="177" t="s">
        <v>65</v>
      </c>
      <c r="H30" s="179">
        <v>20</v>
      </c>
      <c r="I30" s="179">
        <v>8950</v>
      </c>
      <c r="J30" s="180">
        <f>IFERROR(INDEX(Products!$E$4:$E$500,MATCH(tblLines[[#This Row],[Description (Product)]],Products!$B$4:$B$500,0)),"")</f>
        <v>25</v>
      </c>
      <c r="K30" s="181">
        <f>IF(OR(tblLines[[#This Row],[Description (Product)]]="",tblLines[[#This Row],[Rate 40Kg]]=""),"",tblLines[[#This Row],[Rate 40Kg]]/40*tblLines[[#This Row],[Pack Wt (KG)]])</f>
        <v>5593.75</v>
      </c>
      <c r="L30" s="182">
        <f>IF(OR(tblLines[[#This Row],[Rate / Pack]]="",tblLines[[#This Row],[Qty (Packs)]]=""),"",ROUND(tblLines[[#This Row],[Rate / Pack]]*tblLines[[#This Row],[Qty (Packs)]],0))</f>
        <v>111875</v>
      </c>
      <c r="M30" s="183">
        <f>IF(tblLines[[#This Row],[Amount]]="","",tblLines[[#This Row],[Amount]]*IFERROR(INDEX(Products!$I$4:$I$500,MATCH(tblLines[[#This Row],[Description (Product)]],Products!$B$4:$B$500,0)),frmCommRate))</f>
        <v>391.5625</v>
      </c>
      <c r="N30" s="179">
        <f>IF(tblLines[[#This Row],[Qty (Packs)]]="","",tblLines[[#This Row],[Qty (Packs)]]*tblLines[[#This Row],[Pack Wt (KG)]])</f>
        <v>500</v>
      </c>
      <c r="O30" s="168"/>
      <c r="P30" s="168"/>
      <c r="Q30" s="168"/>
      <c r="R30" s="168"/>
    </row>
    <row r="31" ht="19.95" customHeight="1" spans="1:18" x14ac:dyDescent="0.25">
      <c r="A31" s="177">
        <v>29</v>
      </c>
      <c r="B31" s="178">
        <v>46268</v>
      </c>
      <c r="C31" s="177" t="s">
        <v>112</v>
      </c>
      <c r="D31" s="177"/>
      <c r="E31" s="177" t="s">
        <v>111</v>
      </c>
      <c r="F31" s="177" t="s">
        <v>17</v>
      </c>
      <c r="G31" s="177" t="s">
        <v>66</v>
      </c>
      <c r="H31" s="179">
        <v>10</v>
      </c>
      <c r="I31" s="179">
        <v>13400</v>
      </c>
      <c r="J31" s="180">
        <f>IFERROR(INDEX(Products!$E$4:$E$500,MATCH(tblLines[[#This Row],[Description (Product)]],Products!$B$4:$B$500,0)),"")</f>
        <v>25</v>
      </c>
      <c r="K31" s="181">
        <f>IF(OR(tblLines[[#This Row],[Description (Product)]]="",tblLines[[#This Row],[Rate 40Kg]]=""),"",tblLines[[#This Row],[Rate 40Kg]]/40*tblLines[[#This Row],[Pack Wt (KG)]])</f>
        <v>8375</v>
      </c>
      <c r="L31" s="182">
        <f>IF(OR(tblLines[[#This Row],[Rate / Pack]]="",tblLines[[#This Row],[Qty (Packs)]]=""),"",ROUND(tblLines[[#This Row],[Rate / Pack]]*tblLines[[#This Row],[Qty (Packs)]],0))</f>
        <v>83750</v>
      </c>
      <c r="M31" s="183">
        <f>IF(tblLines[[#This Row],[Amount]]="","",tblLines[[#This Row],[Amount]]*IFERROR(INDEX(Products!$I$4:$I$500,MATCH(tblLines[[#This Row],[Description (Product)]],Products!$B$4:$B$500,0)),frmCommRate))</f>
        <v>293.125</v>
      </c>
      <c r="N31" s="179">
        <f>IF(tblLines[[#This Row],[Qty (Packs)]]="","",tblLines[[#This Row],[Qty (Packs)]]*tblLines[[#This Row],[Pack Wt (KG)]])</f>
        <v>250</v>
      </c>
      <c r="O31" s="168"/>
      <c r="P31" s="168"/>
      <c r="Q31" s="168"/>
      <c r="R31" s="168"/>
    </row>
    <row r="32" ht="19.95" customHeight="1" spans="1:18" x14ac:dyDescent="0.25">
      <c r="A32" s="177">
        <v>29</v>
      </c>
      <c r="B32" s="178">
        <v>46268</v>
      </c>
      <c r="C32" s="177" t="s">
        <v>112</v>
      </c>
      <c r="D32" s="177"/>
      <c r="E32" s="177" t="s">
        <v>111</v>
      </c>
      <c r="F32" s="177" t="s">
        <v>17</v>
      </c>
      <c r="G32" s="177" t="s">
        <v>29</v>
      </c>
      <c r="H32" s="179">
        <v>20</v>
      </c>
      <c r="I32" s="179">
        <v>10301</v>
      </c>
      <c r="J32" s="180">
        <f>IFERROR(INDEX(Products!$E$4:$E$500,MATCH(tblLines[[#This Row],[Description (Product)]],Products!$B$4:$B$500,0)),"")</f>
        <v>25</v>
      </c>
      <c r="K32" s="181">
        <f>IF(OR(tblLines[[#This Row],[Description (Product)]]="",tblLines[[#This Row],[Rate 40Kg]]=""),"",tblLines[[#This Row],[Rate 40Kg]]/40*tblLines[[#This Row],[Pack Wt (KG)]])</f>
        <v>6438.124999999999</v>
      </c>
      <c r="L32" s="182">
        <f>IF(OR(tblLines[[#This Row],[Rate / Pack]]="",tblLines[[#This Row],[Qty (Packs)]]=""),"",ROUND(tblLines[[#This Row],[Rate / Pack]]*tblLines[[#This Row],[Qty (Packs)]],0))</f>
        <v>128763</v>
      </c>
      <c r="M32" s="183">
        <f>IF(tblLines[[#This Row],[Amount]]="","",tblLines[[#This Row],[Amount]]*IFERROR(INDEX(Products!$I$4:$I$500,MATCH(tblLines[[#This Row],[Description (Product)]],Products!$B$4:$B$500,0)),frmCommRate))</f>
        <v>450.6705</v>
      </c>
      <c r="N32" s="179">
        <f>IF(tblLines[[#This Row],[Qty (Packs)]]="","",tblLines[[#This Row],[Qty (Packs)]]*tblLines[[#This Row],[Pack Wt (KG)]])</f>
        <v>500</v>
      </c>
      <c r="O32" s="168"/>
      <c r="P32" s="168"/>
      <c r="Q32" s="168"/>
      <c r="R32" s="168"/>
    </row>
    <row r="33" ht="19.95" customHeight="1" spans="1:18" x14ac:dyDescent="0.25">
      <c r="A33" s="177">
        <v>29</v>
      </c>
      <c r="B33" s="178">
        <v>46268</v>
      </c>
      <c r="C33" s="177" t="s">
        <v>112</v>
      </c>
      <c r="D33" s="177"/>
      <c r="E33" s="177" t="s">
        <v>111</v>
      </c>
      <c r="F33" s="177" t="s">
        <v>17</v>
      </c>
      <c r="G33" s="177" t="s">
        <v>28</v>
      </c>
      <c r="H33" s="179">
        <v>10</v>
      </c>
      <c r="I33" s="179">
        <v>16301</v>
      </c>
      <c r="J33" s="180">
        <f>IFERROR(INDEX(Products!$E$4:$E$500,MATCH(tblLines[[#This Row],[Description (Product)]],Products!$B$4:$B$500,0)),"")</f>
        <v>25</v>
      </c>
      <c r="K33" s="181">
        <f>IF(OR(tblLines[[#This Row],[Description (Product)]]="",tblLines[[#This Row],[Rate 40Kg]]=""),"",tblLines[[#This Row],[Rate 40Kg]]/40*tblLines[[#This Row],[Pack Wt (KG)]])</f>
        <v>10188.125</v>
      </c>
      <c r="L33" s="182">
        <f>IF(OR(tblLines[[#This Row],[Rate / Pack]]="",tblLines[[#This Row],[Qty (Packs)]]=""),"",ROUND(tblLines[[#This Row],[Rate / Pack]]*tblLines[[#This Row],[Qty (Packs)]],0))</f>
        <v>101881</v>
      </c>
      <c r="M33" s="183">
        <f>IF(tblLines[[#This Row],[Amount]]="","",tblLines[[#This Row],[Amount]]*IFERROR(INDEX(Products!$I$4:$I$500,MATCH(tblLines[[#This Row],[Description (Product)]],Products!$B$4:$B$500,0)),frmCommRate))</f>
        <v>356.5835</v>
      </c>
      <c r="N33" s="179">
        <f>IF(tblLines[[#This Row],[Qty (Packs)]]="","",tblLines[[#This Row],[Qty (Packs)]]*tblLines[[#This Row],[Pack Wt (KG)]])</f>
        <v>250</v>
      </c>
      <c r="O33" s="168"/>
      <c r="P33" s="168"/>
      <c r="Q33" s="168"/>
      <c r="R33" s="168"/>
    </row>
    <row r="34" ht="19.95" customHeight="1" spans="1:18" x14ac:dyDescent="0.25">
      <c r="A34" s="177">
        <v>30</v>
      </c>
      <c r="B34" s="178">
        <v>46268</v>
      </c>
      <c r="C34" s="177" t="s">
        <v>113</v>
      </c>
      <c r="D34" s="177"/>
      <c r="E34" s="177" t="s">
        <v>114</v>
      </c>
      <c r="F34" s="177" t="s">
        <v>17</v>
      </c>
      <c r="G34" s="177" t="s">
        <v>81</v>
      </c>
      <c r="H34" s="179">
        <v>100</v>
      </c>
      <c r="I34" s="179">
        <v>13700</v>
      </c>
      <c r="J34" s="180">
        <f>IFERROR(INDEX(Products!$E$4:$E$500,MATCH(tblLines[[#This Row],[Description (Product)]],Products!$B$4:$B$500,0)),"")</f>
        <v>20</v>
      </c>
      <c r="K34" s="181">
        <f>IF(OR(tblLines[[#This Row],[Description (Product)]]="",tblLines[[#This Row],[Rate 40Kg]]=""),"",tblLines[[#This Row],[Rate 40Kg]]/40*tblLines[[#This Row],[Pack Wt (KG)]])</f>
        <v>6850</v>
      </c>
      <c r="L34" s="182">
        <f>IF(OR(tblLines[[#This Row],[Rate / Pack]]="",tblLines[[#This Row],[Qty (Packs)]]=""),"",ROUND(tblLines[[#This Row],[Rate / Pack]]*tblLines[[#This Row],[Qty (Packs)]],0))</f>
        <v>685000</v>
      </c>
      <c r="M34" s="183">
        <f>IF(tblLines[[#This Row],[Amount]]="","",tblLines[[#This Row],[Amount]]*IFERROR(INDEX(Products!$I$4:$I$500,MATCH(tblLines[[#This Row],[Description (Product)]],Products!$B$4:$B$500,0)),frmCommRate))</f>
        <v>2397.5</v>
      </c>
      <c r="N34" s="179">
        <f>IF(tblLines[[#This Row],[Qty (Packs)]]="","",tblLines[[#This Row],[Qty (Packs)]]*tblLines[[#This Row],[Pack Wt (KG)]])</f>
        <v>2000</v>
      </c>
      <c r="O34" s="168"/>
      <c r="P34" s="168"/>
      <c r="Q34" s="168"/>
      <c r="R34" s="168"/>
    </row>
    <row r="35" ht="19.95" customHeight="1" spans="1:18" x14ac:dyDescent="0.25">
      <c r="A35" s="177">
        <v>30</v>
      </c>
      <c r="B35" s="178">
        <v>46268</v>
      </c>
      <c r="C35" s="177" t="s">
        <v>113</v>
      </c>
      <c r="D35" s="177"/>
      <c r="E35" s="177" t="s">
        <v>114</v>
      </c>
      <c r="F35" s="177" t="s">
        <v>17</v>
      </c>
      <c r="G35" s="177" t="s">
        <v>87</v>
      </c>
      <c r="H35" s="179">
        <v>50</v>
      </c>
      <c r="I35" s="179">
        <v>9550</v>
      </c>
      <c r="J35" s="180">
        <f>IFERROR(INDEX(Products!$E$4:$E$500,MATCH(tblLines[[#This Row],[Description (Product)]],Products!$B$4:$B$500,0)),"")</f>
        <v>40</v>
      </c>
      <c r="K35" s="181">
        <f>IF(OR(tblLines[[#This Row],[Description (Product)]]="",tblLines[[#This Row],[Rate 40Kg]]=""),"",tblLines[[#This Row],[Rate 40Kg]]/40*tblLines[[#This Row],[Pack Wt (KG)]])</f>
        <v>9550</v>
      </c>
      <c r="L35" s="182">
        <f>IF(OR(tblLines[[#This Row],[Rate / Pack]]="",tblLines[[#This Row],[Qty (Packs)]]=""),"",ROUND(tblLines[[#This Row],[Rate / Pack]]*tblLines[[#This Row],[Qty (Packs)]],0))</f>
        <v>477500</v>
      </c>
      <c r="M35" s="183">
        <f>IF(tblLines[[#This Row],[Amount]]="","",tblLines[[#This Row],[Amount]]*IFERROR(INDEX(Products!$I$4:$I$500,MATCH(tblLines[[#This Row],[Description (Product)]],Products!$B$4:$B$500,0)),frmCommRate))</f>
        <v>1671.25</v>
      </c>
      <c r="N35" s="179">
        <f>IF(tblLines[[#This Row],[Qty (Packs)]]="","",tblLines[[#This Row],[Qty (Packs)]]*tblLines[[#This Row],[Pack Wt (KG)]])</f>
        <v>2000</v>
      </c>
      <c r="O35" s="168"/>
      <c r="P35" s="168"/>
      <c r="Q35" s="168"/>
      <c r="R35" s="168"/>
    </row>
    <row r="36" ht="19.95" customHeight="1" spans="1:18" x14ac:dyDescent="0.25">
      <c r="A36" s="177">
        <v>30</v>
      </c>
      <c r="B36" s="178">
        <v>46268</v>
      </c>
      <c r="C36" s="177" t="s">
        <v>113</v>
      </c>
      <c r="D36" s="177"/>
      <c r="E36" s="177" t="s">
        <v>114</v>
      </c>
      <c r="F36" s="177" t="s">
        <v>17</v>
      </c>
      <c r="G36" s="177" t="s">
        <v>82</v>
      </c>
      <c r="H36" s="179">
        <v>520</v>
      </c>
      <c r="I36" s="179">
        <v>13700</v>
      </c>
      <c r="J36" s="180">
        <f>IFERROR(INDEX(Products!$E$4:$E$500,MATCH(tblLines[[#This Row],[Description (Product)]],Products!$B$4:$B$500,0)),"")</f>
        <v>25</v>
      </c>
      <c r="K36" s="181">
        <f>IF(OR(tblLines[[#This Row],[Description (Product)]]="",tblLines[[#This Row],[Rate 40Kg]]=""),"",tblLines[[#This Row],[Rate 40Kg]]/40*tblLines[[#This Row],[Pack Wt (KG)]])</f>
        <v>8562.5</v>
      </c>
      <c r="L36" s="182">
        <f>IF(OR(tblLines[[#This Row],[Rate / Pack]]="",tblLines[[#This Row],[Qty (Packs)]]=""),"",ROUND(tblLines[[#This Row],[Rate / Pack]]*tblLines[[#This Row],[Qty (Packs)]],0))</f>
        <v>4452500</v>
      </c>
      <c r="M36" s="183">
        <f>IF(tblLines[[#This Row],[Amount]]="","",tblLines[[#This Row],[Amount]]*IFERROR(INDEX(Products!$I$4:$I$500,MATCH(tblLines[[#This Row],[Description (Product)]],Products!$B$4:$B$500,0)),frmCommRate))</f>
        <v>15583.75</v>
      </c>
      <c r="N36" s="179">
        <f>IF(tblLines[[#This Row],[Qty (Packs)]]="","",tblLines[[#This Row],[Qty (Packs)]]*tblLines[[#This Row],[Pack Wt (KG)]])</f>
        <v>13000</v>
      </c>
      <c r="O36" s="168"/>
      <c r="P36" s="168"/>
      <c r="Q36" s="168"/>
      <c r="R36" s="168"/>
    </row>
    <row r="37" ht="19.95" customHeight="1" spans="1:18" x14ac:dyDescent="0.25">
      <c r="A37" s="177">
        <v>30</v>
      </c>
      <c r="B37" s="178">
        <v>46268</v>
      </c>
      <c r="C37" s="177" t="s">
        <v>113</v>
      </c>
      <c r="D37" s="177"/>
      <c r="E37" s="177" t="s">
        <v>114</v>
      </c>
      <c r="F37" s="177" t="s">
        <v>17</v>
      </c>
      <c r="G37" s="177" t="s">
        <v>85</v>
      </c>
      <c r="H37" s="179">
        <v>100</v>
      </c>
      <c r="I37" s="179">
        <v>9350</v>
      </c>
      <c r="J37" s="180">
        <f>IFERROR(INDEX(Products!$E$4:$E$500,MATCH(tblLines[[#This Row],[Description (Product)]],Products!$B$4:$B$500,0)),"")</f>
        <v>40</v>
      </c>
      <c r="K37" s="181">
        <f>IF(OR(tblLines[[#This Row],[Description (Product)]]="",tblLines[[#This Row],[Rate 40Kg]]=""),"",tblLines[[#This Row],[Rate 40Kg]]/40*tblLines[[#This Row],[Pack Wt (KG)]])</f>
        <v>9350</v>
      </c>
      <c r="L37" s="182">
        <f>IF(OR(tblLines[[#This Row],[Rate / Pack]]="",tblLines[[#This Row],[Qty (Packs)]]=""),"",ROUND(tblLines[[#This Row],[Rate / Pack]]*tblLines[[#This Row],[Qty (Packs)]],0))</f>
        <v>935000</v>
      </c>
      <c r="M37" s="183">
        <f>IF(tblLines[[#This Row],[Amount]]="","",tblLines[[#This Row],[Amount]]*IFERROR(INDEX(Products!$I$4:$I$500,MATCH(tblLines[[#This Row],[Description (Product)]],Products!$B$4:$B$500,0)),frmCommRate))</f>
        <v>3272.5</v>
      </c>
      <c r="N37" s="179">
        <f>IF(tblLines[[#This Row],[Qty (Packs)]]="","",tblLines[[#This Row],[Qty (Packs)]]*tblLines[[#This Row],[Pack Wt (KG)]])</f>
        <v>4000</v>
      </c>
      <c r="O37" s="168"/>
      <c r="P37" s="168"/>
      <c r="Q37" s="168"/>
      <c r="R37" s="168"/>
    </row>
    <row r="38" ht="19.95" customHeight="1" spans="1:18" x14ac:dyDescent="0.25">
      <c r="A38" s="177">
        <v>30</v>
      </c>
      <c r="B38" s="178">
        <v>46268</v>
      </c>
      <c r="C38" s="177" t="s">
        <v>113</v>
      </c>
      <c r="D38" s="177"/>
      <c r="E38" s="177" t="s">
        <v>114</v>
      </c>
      <c r="F38" s="177" t="s">
        <v>17</v>
      </c>
      <c r="G38" s="177" t="s">
        <v>86</v>
      </c>
      <c r="H38" s="179">
        <v>60</v>
      </c>
      <c r="I38" s="179">
        <v>9050</v>
      </c>
      <c r="J38" s="180">
        <f>IFERROR(INDEX(Products!$E$4:$E$500,MATCH(tblLines[[#This Row],[Description (Product)]],Products!$B$4:$B$500,0)),"")</f>
        <v>25</v>
      </c>
      <c r="K38" s="181">
        <f>IF(OR(tblLines[[#This Row],[Description (Product)]]="",tblLines[[#This Row],[Rate 40Kg]]=""),"",tblLines[[#This Row],[Rate 40Kg]]/40*tblLines[[#This Row],[Pack Wt (KG)]])</f>
        <v>5656.25</v>
      </c>
      <c r="L38" s="182">
        <f>IF(OR(tblLines[[#This Row],[Rate / Pack]]="",tblLines[[#This Row],[Qty (Packs)]]=""),"",ROUND(tblLines[[#This Row],[Rate / Pack]]*tblLines[[#This Row],[Qty (Packs)]],0))</f>
        <v>339375</v>
      </c>
      <c r="M38" s="183">
        <f>IF(tblLines[[#This Row],[Amount]]="","",tblLines[[#This Row],[Amount]]*IFERROR(INDEX(Products!$I$4:$I$500,MATCH(tblLines[[#This Row],[Description (Product)]],Products!$B$4:$B$500,0)),frmCommRate))</f>
        <v>1187.8125</v>
      </c>
      <c r="N38" s="179">
        <f>IF(tblLines[[#This Row],[Qty (Packs)]]="","",tblLines[[#This Row],[Qty (Packs)]]*tblLines[[#This Row],[Pack Wt (KG)]])</f>
        <v>1500</v>
      </c>
      <c r="O38" s="168"/>
      <c r="P38" s="168"/>
      <c r="Q38" s="168"/>
      <c r="R38" s="168"/>
    </row>
    <row r="39" ht="19.95" customHeight="1" spans="1:18" x14ac:dyDescent="0.25">
      <c r="A39" s="177">
        <v>30</v>
      </c>
      <c r="B39" s="178">
        <v>46268</v>
      </c>
      <c r="C39" s="177" t="s">
        <v>113</v>
      </c>
      <c r="D39" s="177"/>
      <c r="E39" s="177" t="s">
        <v>114</v>
      </c>
      <c r="F39" s="177" t="s">
        <v>17</v>
      </c>
      <c r="G39" s="177" t="s">
        <v>79</v>
      </c>
      <c r="H39" s="179">
        <v>50</v>
      </c>
      <c r="I39" s="179">
        <v>14000</v>
      </c>
      <c r="J39" s="180">
        <f>IFERROR(INDEX(Products!$E$4:$E$500,MATCH(tblLines[[#This Row],[Description (Product)]],Products!$B$4:$B$500,0)),"")</f>
        <v>40</v>
      </c>
      <c r="K39" s="181">
        <f>IF(OR(tblLines[[#This Row],[Description (Product)]]="",tblLines[[#This Row],[Rate 40Kg]]=""),"",tblLines[[#This Row],[Rate 40Kg]]/40*tblLines[[#This Row],[Pack Wt (KG)]])</f>
        <v>14000</v>
      </c>
      <c r="L39" s="182">
        <f>IF(OR(tblLines[[#This Row],[Rate / Pack]]="",tblLines[[#This Row],[Qty (Packs)]]=""),"",ROUND(tblLines[[#This Row],[Rate / Pack]]*tblLines[[#This Row],[Qty (Packs)]],0))</f>
        <v>700000</v>
      </c>
      <c r="M39" s="183">
        <f>IF(tblLines[[#This Row],[Amount]]="","",tblLines[[#This Row],[Amount]]*IFERROR(INDEX(Products!$I$4:$I$500,MATCH(tblLines[[#This Row],[Description (Product)]],Products!$B$4:$B$500,0)),frmCommRate))</f>
        <v>2450</v>
      </c>
      <c r="N39" s="179">
        <f>IF(tblLines[[#This Row],[Qty (Packs)]]="","",tblLines[[#This Row],[Qty (Packs)]]*tblLines[[#This Row],[Pack Wt (KG)]])</f>
        <v>2000</v>
      </c>
      <c r="O39" s="168"/>
      <c r="P39" s="168"/>
      <c r="Q39" s="168"/>
      <c r="R39" s="168"/>
    </row>
    <row r="40" ht="19.95" customHeight="1" spans="1:18" x14ac:dyDescent="0.25">
      <c r="A40" s="177">
        <v>30</v>
      </c>
      <c r="B40" s="178">
        <v>46268</v>
      </c>
      <c r="C40" s="177" t="s">
        <v>113</v>
      </c>
      <c r="D40" s="177"/>
      <c r="E40" s="177" t="s">
        <v>114</v>
      </c>
      <c r="F40" s="177" t="s">
        <v>17</v>
      </c>
      <c r="G40" s="177" t="s">
        <v>73</v>
      </c>
      <c r="H40" s="179">
        <v>25</v>
      </c>
      <c r="I40" s="179">
        <v>12850</v>
      </c>
      <c r="J40" s="180">
        <f>IFERROR(INDEX(Products!$E$4:$E$500,MATCH(tblLines[[#This Row],[Description (Product)]],Products!$B$4:$B$500,0)),"")</f>
        <v>40</v>
      </c>
      <c r="K40" s="181">
        <f>IF(OR(tblLines[[#This Row],[Description (Product)]]="",tblLines[[#This Row],[Rate 40Kg]]=""),"",tblLines[[#This Row],[Rate 40Kg]]/40*tblLines[[#This Row],[Pack Wt (KG)]])</f>
        <v>12850</v>
      </c>
      <c r="L40" s="182">
        <f>IF(OR(tblLines[[#This Row],[Rate / Pack]]="",tblLines[[#This Row],[Qty (Packs)]]=""),"",ROUND(tblLines[[#This Row],[Rate / Pack]]*tblLines[[#This Row],[Qty (Packs)]],0))</f>
        <v>321250</v>
      </c>
      <c r="M40" s="183">
        <f>IF(tblLines[[#This Row],[Amount]]="","",tblLines[[#This Row],[Amount]]*IFERROR(INDEX(Products!$I$4:$I$500,MATCH(tblLines[[#This Row],[Description (Product)]],Products!$B$4:$B$500,0)),frmCommRate))</f>
        <v>1124.375</v>
      </c>
      <c r="N40" s="179">
        <f>IF(tblLines[[#This Row],[Qty (Packs)]]="","",tblLines[[#This Row],[Qty (Packs)]]*tblLines[[#This Row],[Pack Wt (KG)]])</f>
        <v>1000</v>
      </c>
      <c r="O40" s="168"/>
      <c r="P40" s="168"/>
      <c r="Q40" s="168"/>
      <c r="R40" s="168"/>
    </row>
    <row r="41" ht="19.95" customHeight="1" spans="1:18" x14ac:dyDescent="0.25">
      <c r="A41" s="177">
        <v>30</v>
      </c>
      <c r="B41" s="178">
        <v>46268</v>
      </c>
      <c r="C41" s="177" t="s">
        <v>113</v>
      </c>
      <c r="D41" s="177"/>
      <c r="E41" s="177" t="s">
        <v>114</v>
      </c>
      <c r="F41" s="177" t="s">
        <v>17</v>
      </c>
      <c r="G41" s="177" t="s">
        <v>74</v>
      </c>
      <c r="H41" s="179">
        <v>368</v>
      </c>
      <c r="I41" s="179">
        <v>7850</v>
      </c>
      <c r="J41" s="180">
        <f>IFERROR(INDEX(Products!$E$4:$E$500,MATCH(tblLines[[#This Row],[Description (Product)]],Products!$B$4:$B$500,0)),"")</f>
        <v>25</v>
      </c>
      <c r="K41" s="181">
        <f>IF(OR(tblLines[[#This Row],[Description (Product)]]="",tblLines[[#This Row],[Rate 40Kg]]=""),"",tblLines[[#This Row],[Rate 40Kg]]/40*tblLines[[#This Row],[Pack Wt (KG)]])</f>
        <v>4906.25</v>
      </c>
      <c r="L41" s="182">
        <f>IF(OR(tblLines[[#This Row],[Rate / Pack]]="",tblLines[[#This Row],[Qty (Packs)]]=""),"",ROUND(tblLines[[#This Row],[Rate / Pack]]*tblLines[[#This Row],[Qty (Packs)]],0))</f>
        <v>1805500</v>
      </c>
      <c r="M41" s="183">
        <f>IF(tblLines[[#This Row],[Amount]]="","",tblLines[[#This Row],[Amount]]*IFERROR(INDEX(Products!$I$4:$I$500,MATCH(tblLines[[#This Row],[Description (Product)]],Products!$B$4:$B$500,0)),frmCommRate))</f>
        <v>6319.25</v>
      </c>
      <c r="N41" s="179">
        <f>IF(tblLines[[#This Row],[Qty (Packs)]]="","",tblLines[[#This Row],[Qty (Packs)]]*tblLines[[#This Row],[Pack Wt (KG)]])</f>
        <v>9200</v>
      </c>
      <c r="O41" s="168"/>
      <c r="P41" s="168"/>
      <c r="Q41" s="168"/>
      <c r="R41" s="168"/>
    </row>
    <row r="42" ht="19.95" customHeight="1" spans="1:18" x14ac:dyDescent="0.25">
      <c r="A42" s="177">
        <v>30</v>
      </c>
      <c r="B42" s="178">
        <v>46268</v>
      </c>
      <c r="C42" s="177" t="s">
        <v>113</v>
      </c>
      <c r="D42" s="177"/>
      <c r="E42" s="177" t="s">
        <v>114</v>
      </c>
      <c r="F42" s="177" t="s">
        <v>17</v>
      </c>
      <c r="G42" s="177" t="s">
        <v>83</v>
      </c>
      <c r="H42" s="179">
        <v>20</v>
      </c>
      <c r="I42" s="179">
        <v>14200</v>
      </c>
      <c r="J42" s="180">
        <f>IFERROR(INDEX(Products!$E$4:$E$500,MATCH(tblLines[[#This Row],[Description (Product)]],Products!$B$4:$B$500,0)),"")</f>
        <v>40</v>
      </c>
      <c r="K42" s="181">
        <f>IF(OR(tblLines[[#This Row],[Description (Product)]]="",tblLines[[#This Row],[Rate 40Kg]]=""),"",tblLines[[#This Row],[Rate 40Kg]]/40*tblLines[[#This Row],[Pack Wt (KG)]])</f>
        <v>14200</v>
      </c>
      <c r="L42" s="182">
        <f>IF(OR(tblLines[[#This Row],[Rate / Pack]]="",tblLines[[#This Row],[Qty (Packs)]]=""),"",ROUND(tblLines[[#This Row],[Rate / Pack]]*tblLines[[#This Row],[Qty (Packs)]],0))</f>
        <v>284000</v>
      </c>
      <c r="M42" s="183">
        <f>IF(tblLines[[#This Row],[Amount]]="","",tblLines[[#This Row],[Amount]]*IFERROR(INDEX(Products!$I$4:$I$500,MATCH(tblLines[[#This Row],[Description (Product)]],Products!$B$4:$B$500,0)),frmCommRate))</f>
        <v>994</v>
      </c>
      <c r="N42" s="179">
        <f>IF(tblLines[[#This Row],[Qty (Packs)]]="","",tblLines[[#This Row],[Qty (Packs)]]*tblLines[[#This Row],[Pack Wt (KG)]])</f>
        <v>800</v>
      </c>
      <c r="O42" s="168"/>
      <c r="P42" s="168"/>
      <c r="Q42" s="168"/>
      <c r="R42" s="168"/>
    </row>
    <row r="43" ht="19.95" customHeight="1" spans="1:18" x14ac:dyDescent="0.25">
      <c r="A43" s="177">
        <v>31</v>
      </c>
      <c r="B43" s="178">
        <v>46268</v>
      </c>
      <c r="C43" s="177" t="s">
        <v>113</v>
      </c>
      <c r="D43" s="177"/>
      <c r="E43" s="177" t="s">
        <v>114</v>
      </c>
      <c r="F43" s="177" t="s">
        <v>17</v>
      </c>
      <c r="G43" s="177" t="s">
        <v>30</v>
      </c>
      <c r="H43" s="179">
        <v>20</v>
      </c>
      <c r="I43" s="179">
        <v>8450</v>
      </c>
      <c r="J43" s="180">
        <f>IFERROR(INDEX(Products!$E$4:$E$500,MATCH(tblLines[[#This Row],[Description (Product)]],Products!$B$4:$B$500,0)),"")</f>
        <v>25</v>
      </c>
      <c r="K43" s="181">
        <f>IF(OR(tblLines[[#This Row],[Description (Product)]]="",tblLines[[#This Row],[Rate 40Kg]]=""),"",tblLines[[#This Row],[Rate 40Kg]]/40*tblLines[[#This Row],[Pack Wt (KG)]])</f>
        <v>5281.25</v>
      </c>
      <c r="L43" s="182">
        <f>IF(OR(tblLines[[#This Row],[Rate / Pack]]="",tblLines[[#This Row],[Qty (Packs)]]=""),"",ROUND(tblLines[[#This Row],[Rate / Pack]]*tblLines[[#This Row],[Qty (Packs)]],0))</f>
        <v>105625</v>
      </c>
      <c r="M43" s="183">
        <f>IF(tblLines[[#This Row],[Amount]]="","",tblLines[[#This Row],[Amount]]*IFERROR(INDEX(Products!$I$4:$I$500,MATCH(tblLines[[#This Row],[Description (Product)]],Products!$B$4:$B$500,0)),frmCommRate))</f>
        <v>369.6875</v>
      </c>
      <c r="N43" s="179">
        <f>IF(tblLines[[#This Row],[Qty (Packs)]]="","",tblLines[[#This Row],[Qty (Packs)]]*tblLines[[#This Row],[Pack Wt (KG)]])</f>
        <v>500</v>
      </c>
      <c r="O43" s="168"/>
      <c r="P43" s="168"/>
      <c r="Q43" s="168"/>
      <c r="R43" s="168"/>
    </row>
    <row r="44" ht="19.95" customHeight="1" spans="1:18" x14ac:dyDescent="0.25">
      <c r="A44" s="177">
        <v>31</v>
      </c>
      <c r="B44" s="178">
        <v>46268</v>
      </c>
      <c r="C44" s="177" t="s">
        <v>113</v>
      </c>
      <c r="D44" s="177"/>
      <c r="E44" s="177" t="s">
        <v>114</v>
      </c>
      <c r="F44" s="177" t="s">
        <v>17</v>
      </c>
      <c r="G44" s="177" t="s">
        <v>63</v>
      </c>
      <c r="H44" s="179">
        <v>40</v>
      </c>
      <c r="I44" s="179">
        <v>9000</v>
      </c>
      <c r="J44" s="180">
        <f>IFERROR(INDEX(Products!$E$4:$E$500,MATCH(tblLines[[#This Row],[Description (Product)]],Products!$B$4:$B$500,0)),"")</f>
        <v>25</v>
      </c>
      <c r="K44" s="181">
        <f>IF(OR(tblLines[[#This Row],[Description (Product)]]="",tblLines[[#This Row],[Rate 40Kg]]=""),"",tblLines[[#This Row],[Rate 40Kg]]/40*tblLines[[#This Row],[Pack Wt (KG)]])</f>
        <v>5625</v>
      </c>
      <c r="L44" s="182">
        <f>IF(OR(tblLines[[#This Row],[Rate / Pack]]="",tblLines[[#This Row],[Qty (Packs)]]=""),"",ROUND(tblLines[[#This Row],[Rate / Pack]]*tblLines[[#This Row],[Qty (Packs)]],0))</f>
        <v>225000</v>
      </c>
      <c r="M44" s="183">
        <f>IF(tblLines[[#This Row],[Amount]]="","",tblLines[[#This Row],[Amount]]*IFERROR(INDEX(Products!$I$4:$I$500,MATCH(tblLines[[#This Row],[Description (Product)]],Products!$B$4:$B$500,0)),frmCommRate))</f>
        <v>787.5</v>
      </c>
      <c r="N44" s="179">
        <f>IF(tblLines[[#This Row],[Qty (Packs)]]="","",tblLines[[#This Row],[Qty (Packs)]]*tblLines[[#This Row],[Pack Wt (KG)]])</f>
        <v>1000</v>
      </c>
      <c r="O44" s="168"/>
      <c r="P44" s="168"/>
      <c r="Q44" s="168"/>
      <c r="R44" s="168"/>
    </row>
    <row r="45" ht="19.95" customHeight="1" spans="1:18" x14ac:dyDescent="0.25">
      <c r="A45" s="177">
        <v>31</v>
      </c>
      <c r="B45" s="178">
        <v>46268</v>
      </c>
      <c r="C45" s="177" t="s">
        <v>113</v>
      </c>
      <c r="D45" s="177"/>
      <c r="E45" s="177" t="s">
        <v>114</v>
      </c>
      <c r="F45" s="177" t="s">
        <v>17</v>
      </c>
      <c r="G45" s="177" t="s">
        <v>29</v>
      </c>
      <c r="H45" s="179">
        <v>10</v>
      </c>
      <c r="I45" s="179">
        <v>10301</v>
      </c>
      <c r="J45" s="180">
        <f>IFERROR(INDEX(Products!$E$4:$E$500,MATCH(tblLines[[#This Row],[Description (Product)]],Products!$B$4:$B$500,0)),"")</f>
        <v>25</v>
      </c>
      <c r="K45" s="181">
        <f>IF(OR(tblLines[[#This Row],[Description (Product)]]="",tblLines[[#This Row],[Rate 40Kg]]=""),"",tblLines[[#This Row],[Rate 40Kg]]/40*tblLines[[#This Row],[Pack Wt (KG)]])</f>
        <v>6438.124999999999</v>
      </c>
      <c r="L45" s="182">
        <f>IF(OR(tblLines[[#This Row],[Rate / Pack]]="",tblLines[[#This Row],[Qty (Packs)]]=""),"",ROUND(tblLines[[#This Row],[Rate / Pack]]*tblLines[[#This Row],[Qty (Packs)]],0))</f>
        <v>64381</v>
      </c>
      <c r="M45" s="183">
        <f>IF(tblLines[[#This Row],[Amount]]="","",tblLines[[#This Row],[Amount]]*IFERROR(INDEX(Products!$I$4:$I$500,MATCH(tblLines[[#This Row],[Description (Product)]],Products!$B$4:$B$500,0)),frmCommRate))</f>
        <v>225.33350000000002</v>
      </c>
      <c r="N45" s="179">
        <f>IF(tblLines[[#This Row],[Qty (Packs)]]="","",tblLines[[#This Row],[Qty (Packs)]]*tblLines[[#This Row],[Pack Wt (KG)]])</f>
        <v>250</v>
      </c>
      <c r="O45" s="168"/>
      <c r="P45" s="168"/>
      <c r="Q45" s="168"/>
      <c r="R45" s="168"/>
    </row>
    <row r="46" ht="19.95" customHeight="1" spans="1:18" x14ac:dyDescent="0.25">
      <c r="A46" s="177">
        <v>31</v>
      </c>
      <c r="B46" s="178">
        <v>46268</v>
      </c>
      <c r="C46" s="177" t="s">
        <v>113</v>
      </c>
      <c r="D46" s="177"/>
      <c r="E46" s="177" t="s">
        <v>114</v>
      </c>
      <c r="F46" s="177" t="s">
        <v>17</v>
      </c>
      <c r="G46" s="177" t="s">
        <v>27</v>
      </c>
      <c r="H46" s="179">
        <v>30</v>
      </c>
      <c r="I46" s="179">
        <v>8050</v>
      </c>
      <c r="J46" s="180">
        <f>IFERROR(INDEX(Products!$E$4:$E$500,MATCH(tblLines[[#This Row],[Description (Product)]],Products!$B$4:$B$500,0)),"")</f>
        <v>25</v>
      </c>
      <c r="K46" s="181">
        <f>IF(OR(tblLines[[#This Row],[Description (Product)]]="",tblLines[[#This Row],[Rate 40Kg]]=""),"",tblLines[[#This Row],[Rate 40Kg]]/40*tblLines[[#This Row],[Pack Wt (KG)]])</f>
        <v>5031.25</v>
      </c>
      <c r="L46" s="182">
        <f>IF(OR(tblLines[[#This Row],[Rate / Pack]]="",tblLines[[#This Row],[Qty (Packs)]]=""),"",ROUND(tblLines[[#This Row],[Rate / Pack]]*tblLines[[#This Row],[Qty (Packs)]],0))</f>
        <v>150938</v>
      </c>
      <c r="M46" s="183">
        <f>IF(tblLines[[#This Row],[Amount]]="","",tblLines[[#This Row],[Amount]]*IFERROR(INDEX(Products!$I$4:$I$500,MATCH(tblLines[[#This Row],[Description (Product)]],Products!$B$4:$B$500,0)),frmCommRate))</f>
        <v>528.283</v>
      </c>
      <c r="N46" s="179">
        <f>IF(tblLines[[#This Row],[Qty (Packs)]]="","",tblLines[[#This Row],[Qty (Packs)]]*tblLines[[#This Row],[Pack Wt (KG)]])</f>
        <v>750</v>
      </c>
      <c r="O46" s="168"/>
      <c r="P46" s="168"/>
      <c r="Q46" s="168"/>
      <c r="R46" s="168"/>
    </row>
    <row r="47" ht="19.95" customHeight="1" spans="1:18" x14ac:dyDescent="0.25">
      <c r="A47" s="177">
        <v>77</v>
      </c>
      <c r="B47" s="178">
        <v>46272</v>
      </c>
      <c r="C47" s="177" t="s">
        <v>115</v>
      </c>
      <c r="D47" s="177"/>
      <c r="E47" s="177" t="s">
        <v>116</v>
      </c>
      <c r="F47" s="177" t="s">
        <v>17</v>
      </c>
      <c r="G47" s="177" t="s">
        <v>64</v>
      </c>
      <c r="H47" s="179">
        <v>60</v>
      </c>
      <c r="I47" s="179">
        <v>4550</v>
      </c>
      <c r="J47" s="180">
        <f>IFERROR(INDEX(Products!$E$4:$E$500,MATCH(tblLines[[#This Row],[Description (Product)]],Products!$B$4:$B$500,0)),"")</f>
        <v>25</v>
      </c>
      <c r="K47" s="181">
        <f>IF(OR(tblLines[[#This Row],[Description (Product)]]="",tblLines[[#This Row],[Rate 40Kg]]=""),"",tblLines[[#This Row],[Rate 40Kg]]/40*tblLines[[#This Row],[Pack Wt (KG)]])</f>
        <v>2843.75</v>
      </c>
      <c r="L47" s="182">
        <f>IF(OR(tblLines[[#This Row],[Rate / Pack]]="",tblLines[[#This Row],[Qty (Packs)]]=""),"",ROUND(tblLines[[#This Row],[Rate / Pack]]*tblLines[[#This Row],[Qty (Packs)]],0))</f>
        <v>170625</v>
      </c>
      <c r="M47" s="183">
        <f>IF(tblLines[[#This Row],[Amount]]="","",tblLines[[#This Row],[Amount]]*IFERROR(INDEX(Products!$I$4:$I$500,MATCH(tblLines[[#This Row],[Description (Product)]],Products!$B$4:$B$500,0)),frmCommRate))</f>
        <v>597.1875</v>
      </c>
      <c r="N47" s="179">
        <f>IF(tblLines[[#This Row],[Qty (Packs)]]="","",tblLines[[#This Row],[Qty (Packs)]]*tblLines[[#This Row],[Pack Wt (KG)]])</f>
        <v>1500</v>
      </c>
      <c r="O47" s="168"/>
      <c r="P47" s="168"/>
      <c r="Q47" s="168"/>
      <c r="R47" s="168"/>
    </row>
    <row r="48" ht="19.95" customHeight="1" spans="1:18" x14ac:dyDescent="0.25">
      <c r="A48" s="177">
        <v>77</v>
      </c>
      <c r="B48" s="178">
        <v>46272</v>
      </c>
      <c r="C48" s="177" t="s">
        <v>115</v>
      </c>
      <c r="D48" s="177"/>
      <c r="E48" s="177" t="s">
        <v>116</v>
      </c>
      <c r="F48" s="177" t="s">
        <v>17</v>
      </c>
      <c r="G48" s="177" t="s">
        <v>73</v>
      </c>
      <c r="H48" s="179">
        <v>2</v>
      </c>
      <c r="I48" s="179">
        <v>12850</v>
      </c>
      <c r="J48" s="180">
        <f>IFERROR(INDEX(Products!$E$4:$E$500,MATCH(tblLines[[#This Row],[Description (Product)]],Products!$B$4:$B$500,0)),"")</f>
        <v>40</v>
      </c>
      <c r="K48" s="181">
        <f>IF(OR(tblLines[[#This Row],[Description (Product)]]="",tblLines[[#This Row],[Rate 40Kg]]=""),"",tblLines[[#This Row],[Rate 40Kg]]/40*tblLines[[#This Row],[Pack Wt (KG)]])</f>
        <v>12850</v>
      </c>
      <c r="L48" s="182">
        <f>IF(OR(tblLines[[#This Row],[Rate / Pack]]="",tblLines[[#This Row],[Qty (Packs)]]=""),"",ROUND(tblLines[[#This Row],[Rate / Pack]]*tblLines[[#This Row],[Qty (Packs)]],0))</f>
        <v>25700</v>
      </c>
      <c r="M48" s="183">
        <f>IF(tblLines[[#This Row],[Amount]]="","",tblLines[[#This Row],[Amount]]*IFERROR(INDEX(Products!$I$4:$I$500,MATCH(tblLines[[#This Row],[Description (Product)]],Products!$B$4:$B$500,0)),frmCommRate))</f>
        <v>89.95</v>
      </c>
      <c r="N48" s="179">
        <f>IF(tblLines[[#This Row],[Qty (Packs)]]="","",tblLines[[#This Row],[Qty (Packs)]]*tblLines[[#This Row],[Pack Wt (KG)]])</f>
        <v>80</v>
      </c>
      <c r="O48" s="168"/>
      <c r="P48" s="168"/>
      <c r="Q48" s="168"/>
      <c r="R48" s="168"/>
    </row>
    <row r="49" ht="19.95" customHeight="1" spans="1:18" x14ac:dyDescent="0.25">
      <c r="A49" s="177">
        <v>77</v>
      </c>
      <c r="B49" s="178">
        <v>46272</v>
      </c>
      <c r="C49" s="177" t="s">
        <v>115</v>
      </c>
      <c r="D49" s="177"/>
      <c r="E49" s="177" t="s">
        <v>116</v>
      </c>
      <c r="F49" s="177" t="s">
        <v>17</v>
      </c>
      <c r="G49" s="177" t="s">
        <v>76</v>
      </c>
      <c r="H49" s="179">
        <v>60</v>
      </c>
      <c r="I49" s="179">
        <v>6100</v>
      </c>
      <c r="J49" s="180">
        <f>IFERROR(INDEX(Products!$E$4:$E$500,MATCH(tblLines[[#This Row],[Description (Product)]],Products!$B$4:$B$500,0)),"")</f>
        <v>25</v>
      </c>
      <c r="K49" s="181">
        <f>IF(OR(tblLines[[#This Row],[Description (Product)]]="",tblLines[[#This Row],[Rate 40Kg]]=""),"",tblLines[[#This Row],[Rate 40Kg]]/40*tblLines[[#This Row],[Pack Wt (KG)]])</f>
        <v>3812.5</v>
      </c>
      <c r="L49" s="182">
        <f>IF(OR(tblLines[[#This Row],[Rate / Pack]]="",tblLines[[#This Row],[Qty (Packs)]]=""),"",ROUND(tblLines[[#This Row],[Rate / Pack]]*tblLines[[#This Row],[Qty (Packs)]],0))</f>
        <v>228750</v>
      </c>
      <c r="M49" s="183">
        <f>IF(tblLines[[#This Row],[Amount]]="","",tblLines[[#This Row],[Amount]]*IFERROR(INDEX(Products!$I$4:$I$500,MATCH(tblLines[[#This Row],[Description (Product)]],Products!$B$4:$B$500,0)),frmCommRate))</f>
        <v>800.625</v>
      </c>
      <c r="N49" s="179">
        <f>IF(tblLines[[#This Row],[Qty (Packs)]]="","",tblLines[[#This Row],[Qty (Packs)]]*tblLines[[#This Row],[Pack Wt (KG)]])</f>
        <v>1500</v>
      </c>
      <c r="O49" s="168"/>
      <c r="P49" s="168"/>
      <c r="Q49" s="168"/>
      <c r="R49" s="168"/>
    </row>
    <row r="50" ht="19.95" customHeight="1" spans="1:18" x14ac:dyDescent="0.25">
      <c r="A50" s="177">
        <v>77</v>
      </c>
      <c r="B50" s="178">
        <v>46272</v>
      </c>
      <c r="C50" s="177" t="s">
        <v>115</v>
      </c>
      <c r="D50" s="177"/>
      <c r="E50" s="177" t="s">
        <v>116</v>
      </c>
      <c r="F50" s="177" t="s">
        <v>17</v>
      </c>
      <c r="G50" s="177" t="s">
        <v>86</v>
      </c>
      <c r="H50" s="179">
        <v>30</v>
      </c>
      <c r="I50" s="179">
        <v>9050</v>
      </c>
      <c r="J50" s="180">
        <f>IFERROR(INDEX(Products!$E$4:$E$500,MATCH(tblLines[[#This Row],[Description (Product)]],Products!$B$4:$B$500,0)),"")</f>
        <v>25</v>
      </c>
      <c r="K50" s="181">
        <f>IF(OR(tblLines[[#This Row],[Description (Product)]]="",tblLines[[#This Row],[Rate 40Kg]]=""),"",tblLines[[#This Row],[Rate 40Kg]]/40*tblLines[[#This Row],[Pack Wt (KG)]])</f>
        <v>5656.25</v>
      </c>
      <c r="L50" s="182">
        <f>IF(OR(tblLines[[#This Row],[Rate / Pack]]="",tblLines[[#This Row],[Qty (Packs)]]=""),"",ROUND(tblLines[[#This Row],[Rate / Pack]]*tblLines[[#This Row],[Qty (Packs)]],0))</f>
        <v>169688</v>
      </c>
      <c r="M50" s="183">
        <f>IF(tblLines[[#This Row],[Amount]]="","",tblLines[[#This Row],[Amount]]*IFERROR(INDEX(Products!$I$4:$I$500,MATCH(tblLines[[#This Row],[Description (Product)]],Products!$B$4:$B$500,0)),frmCommRate))</f>
        <v>593.908</v>
      </c>
      <c r="N50" s="179">
        <f>IF(tblLines[[#This Row],[Qty (Packs)]]="","",tblLines[[#This Row],[Qty (Packs)]]*tblLines[[#This Row],[Pack Wt (KG)]])</f>
        <v>750</v>
      </c>
      <c r="O50" s="168"/>
      <c r="P50" s="168"/>
      <c r="Q50" s="168"/>
      <c r="R50" s="168"/>
    </row>
    <row r="51" ht="19.95" customHeight="1" spans="1:18" x14ac:dyDescent="0.25">
      <c r="A51" s="177">
        <v>77</v>
      </c>
      <c r="B51" s="178">
        <v>46272</v>
      </c>
      <c r="C51" s="177" t="s">
        <v>115</v>
      </c>
      <c r="D51" s="177"/>
      <c r="E51" s="177" t="s">
        <v>116</v>
      </c>
      <c r="F51" s="177" t="s">
        <v>17</v>
      </c>
      <c r="G51" s="177" t="s">
        <v>88</v>
      </c>
      <c r="H51" s="179">
        <v>350</v>
      </c>
      <c r="I51" s="179">
        <v>10800</v>
      </c>
      <c r="J51" s="180">
        <f>IFERROR(INDEX(Products!$E$4:$E$500,MATCH(tblLines[[#This Row],[Description (Product)]],Products!$B$4:$B$500,0)),"")</f>
        <v>25</v>
      </c>
      <c r="K51" s="181">
        <f>IF(OR(tblLines[[#This Row],[Description (Product)]]="",tblLines[[#This Row],[Rate 40Kg]]=""),"",tblLines[[#This Row],[Rate 40Kg]]/40*tblLines[[#This Row],[Pack Wt (KG)]])</f>
        <v>6750</v>
      </c>
      <c r="L51" s="182">
        <f>IF(OR(tblLines[[#This Row],[Rate / Pack]]="",tblLines[[#This Row],[Qty (Packs)]]=""),"",ROUND(tblLines[[#This Row],[Rate / Pack]]*tblLines[[#This Row],[Qty (Packs)]],0))</f>
        <v>2362500</v>
      </c>
      <c r="M51" s="183">
        <f>IF(tblLines[[#This Row],[Amount]]="","",tblLines[[#This Row],[Amount]]*IFERROR(INDEX(Products!$I$4:$I$500,MATCH(tblLines[[#This Row],[Description (Product)]],Products!$B$4:$B$500,0)),frmCommRate))</f>
        <v>8268.75</v>
      </c>
      <c r="N51" s="179">
        <f>IF(tblLines[[#This Row],[Qty (Packs)]]="","",tblLines[[#This Row],[Qty (Packs)]]*tblLines[[#This Row],[Pack Wt (KG)]])</f>
        <v>8750</v>
      </c>
      <c r="O51" s="168"/>
      <c r="P51" s="168"/>
      <c r="Q51" s="168"/>
      <c r="R51" s="168"/>
    </row>
    <row r="52" ht="19.95" customHeight="1" spans="1:18" x14ac:dyDescent="0.25">
      <c r="A52" s="177">
        <v>77</v>
      </c>
      <c r="B52" s="178">
        <v>46272</v>
      </c>
      <c r="C52" s="177" t="s">
        <v>115</v>
      </c>
      <c r="D52" s="177"/>
      <c r="E52" s="177" t="s">
        <v>116</v>
      </c>
      <c r="F52" s="177" t="s">
        <v>17</v>
      </c>
      <c r="G52" s="177" t="s">
        <v>77</v>
      </c>
      <c r="H52" s="179">
        <v>100</v>
      </c>
      <c r="I52" s="179">
        <v>8500</v>
      </c>
      <c r="J52" s="180">
        <f>IFERROR(INDEX(Products!$E$4:$E$500,MATCH(tblLines[[#This Row],[Description (Product)]],Products!$B$4:$B$500,0)),"")</f>
        <v>25</v>
      </c>
      <c r="K52" s="181">
        <f>IF(OR(tblLines[[#This Row],[Description (Product)]]="",tblLines[[#This Row],[Rate 40Kg]]=""),"",tblLines[[#This Row],[Rate 40Kg]]/40*tblLines[[#This Row],[Pack Wt (KG)]])</f>
        <v>5312.5</v>
      </c>
      <c r="L52" s="182">
        <f>IF(OR(tblLines[[#This Row],[Rate / Pack]]="",tblLines[[#This Row],[Qty (Packs)]]=""),"",ROUND(tblLines[[#This Row],[Rate / Pack]]*tblLines[[#This Row],[Qty (Packs)]],0))</f>
        <v>531250</v>
      </c>
      <c r="M52" s="183">
        <f>IF(tblLines[[#This Row],[Amount]]="","",tblLines[[#This Row],[Amount]]*IFERROR(INDEX(Products!$I$4:$I$500,MATCH(tblLines[[#This Row],[Description (Product)]],Products!$B$4:$B$500,0)),frmCommRate))</f>
        <v>1859.375</v>
      </c>
      <c r="N52" s="179">
        <f>IF(tblLines[[#This Row],[Qty (Packs)]]="","",tblLines[[#This Row],[Qty (Packs)]]*tblLines[[#This Row],[Pack Wt (KG)]])</f>
        <v>2500</v>
      </c>
      <c r="O52" s="168"/>
      <c r="P52" s="168"/>
      <c r="Q52" s="168"/>
      <c r="R52" s="168"/>
    </row>
    <row r="53" ht="19.95" customHeight="1" spans="1:18" x14ac:dyDescent="0.25">
      <c r="A53" s="177">
        <v>77</v>
      </c>
      <c r="B53" s="178">
        <v>46272</v>
      </c>
      <c r="C53" s="177" t="s">
        <v>115</v>
      </c>
      <c r="D53" s="177"/>
      <c r="E53" s="177" t="s">
        <v>116</v>
      </c>
      <c r="F53" s="177" t="s">
        <v>17</v>
      </c>
      <c r="G53" s="177" t="s">
        <v>74</v>
      </c>
      <c r="H53" s="179">
        <v>50</v>
      </c>
      <c r="I53" s="179">
        <v>7850</v>
      </c>
      <c r="J53" s="180">
        <f>IFERROR(INDEX(Products!$E$4:$E$500,MATCH(tblLines[[#This Row],[Description (Product)]],Products!$B$4:$B$500,0)),"")</f>
        <v>25</v>
      </c>
      <c r="K53" s="181">
        <f>IF(OR(tblLines[[#This Row],[Description (Product)]]="",tblLines[[#This Row],[Rate 40Kg]]=""),"",tblLines[[#This Row],[Rate 40Kg]]/40*tblLines[[#This Row],[Pack Wt (KG)]])</f>
        <v>4906.25</v>
      </c>
      <c r="L53" s="182">
        <f>IF(OR(tblLines[[#This Row],[Rate / Pack]]="",tblLines[[#This Row],[Qty (Packs)]]=""),"",ROUND(tblLines[[#This Row],[Rate / Pack]]*tblLines[[#This Row],[Qty (Packs)]],0))</f>
        <v>245313</v>
      </c>
      <c r="M53" s="183">
        <f>IF(tblLines[[#This Row],[Amount]]="","",tblLines[[#This Row],[Amount]]*IFERROR(INDEX(Products!$I$4:$I$500,MATCH(tblLines[[#This Row],[Description (Product)]],Products!$B$4:$B$500,0)),frmCommRate))</f>
        <v>858.5955</v>
      </c>
      <c r="N53" s="179">
        <f>IF(tblLines[[#This Row],[Qty (Packs)]]="","",tblLines[[#This Row],[Qty (Packs)]]*tblLines[[#This Row],[Pack Wt (KG)]])</f>
        <v>1250</v>
      </c>
      <c r="O53" s="168"/>
      <c r="P53" s="168"/>
      <c r="Q53" s="168"/>
      <c r="R53" s="168"/>
    </row>
    <row r="54" ht="19.95" customHeight="1" spans="1:18" x14ac:dyDescent="0.25">
      <c r="A54" s="177">
        <v>77</v>
      </c>
      <c r="B54" s="178">
        <v>46272</v>
      </c>
      <c r="C54" s="177" t="s">
        <v>115</v>
      </c>
      <c r="D54" s="177"/>
      <c r="E54" s="177" t="s">
        <v>116</v>
      </c>
      <c r="F54" s="177" t="s">
        <v>17</v>
      </c>
      <c r="G54" s="177" t="s">
        <v>72</v>
      </c>
      <c r="H54" s="179">
        <v>150</v>
      </c>
      <c r="I54" s="179">
        <v>12350</v>
      </c>
      <c r="J54" s="180">
        <f>IFERROR(INDEX(Products!$E$4:$E$500,MATCH(tblLines[[#This Row],[Description (Product)]],Products!$B$4:$B$500,0)),"")</f>
        <v>25</v>
      </c>
      <c r="K54" s="181">
        <f>IF(OR(tblLines[[#This Row],[Description (Product)]]="",tblLines[[#This Row],[Rate 40Kg]]=""),"",tblLines[[#This Row],[Rate 40Kg]]/40*tblLines[[#This Row],[Pack Wt (KG)]])</f>
        <v>7718.75</v>
      </c>
      <c r="L54" s="182">
        <f>IF(OR(tblLines[[#This Row],[Rate / Pack]]="",tblLines[[#This Row],[Qty (Packs)]]=""),"",ROUND(tblLines[[#This Row],[Rate / Pack]]*tblLines[[#This Row],[Qty (Packs)]],0))</f>
        <v>1157813</v>
      </c>
      <c r="M54" s="183">
        <f>IF(tblLines[[#This Row],[Amount]]="","",tblLines[[#This Row],[Amount]]*IFERROR(INDEX(Products!$I$4:$I$500,MATCH(tblLines[[#This Row],[Description (Product)]],Products!$B$4:$B$500,0)),frmCommRate))</f>
        <v>4052.3455</v>
      </c>
      <c r="N54" s="179">
        <f>IF(tblLines[[#This Row],[Qty (Packs)]]="","",tblLines[[#This Row],[Qty (Packs)]]*tblLines[[#This Row],[Pack Wt (KG)]])</f>
        <v>3750</v>
      </c>
      <c r="O54" s="168"/>
      <c r="P54" s="168"/>
      <c r="Q54" s="168"/>
      <c r="R54" s="168"/>
    </row>
    <row r="55" ht="19.95" customHeight="1" spans="1:18" x14ac:dyDescent="0.25">
      <c r="A55" s="177">
        <v>77</v>
      </c>
      <c r="B55" s="178">
        <v>46272</v>
      </c>
      <c r="C55" s="177" t="s">
        <v>115</v>
      </c>
      <c r="D55" s="177"/>
      <c r="E55" s="177" t="s">
        <v>116</v>
      </c>
      <c r="F55" s="177" t="s">
        <v>17</v>
      </c>
      <c r="G55" s="177" t="s">
        <v>82</v>
      </c>
      <c r="H55" s="179">
        <v>350</v>
      </c>
      <c r="I55" s="179">
        <v>13500</v>
      </c>
      <c r="J55" s="180">
        <f>IFERROR(INDEX(Products!$E$4:$E$500,MATCH(tblLines[[#This Row],[Description (Product)]],Products!$B$4:$B$500,0)),"")</f>
        <v>25</v>
      </c>
      <c r="K55" s="181">
        <f>IF(OR(tblLines[[#This Row],[Description (Product)]]="",tblLines[[#This Row],[Rate 40Kg]]=""),"",tblLines[[#This Row],[Rate 40Kg]]/40*tblLines[[#This Row],[Pack Wt (KG)]])</f>
        <v>8437.5</v>
      </c>
      <c r="L55" s="182">
        <f>IF(OR(tblLines[[#This Row],[Rate / Pack]]="",tblLines[[#This Row],[Qty (Packs)]]=""),"",ROUND(tblLines[[#This Row],[Rate / Pack]]*tblLines[[#This Row],[Qty (Packs)]],0))</f>
        <v>2953125</v>
      </c>
      <c r="M55" s="183">
        <f>IF(tblLines[[#This Row],[Amount]]="","",tblLines[[#This Row],[Amount]]*IFERROR(INDEX(Products!$I$4:$I$500,MATCH(tblLines[[#This Row],[Description (Product)]],Products!$B$4:$B$500,0)),frmCommRate))</f>
        <v>10335.9375</v>
      </c>
      <c r="N55" s="179">
        <f>IF(tblLines[[#This Row],[Qty (Packs)]]="","",tblLines[[#This Row],[Qty (Packs)]]*tblLines[[#This Row],[Pack Wt (KG)]])</f>
        <v>8750</v>
      </c>
      <c r="O55" s="168"/>
      <c r="P55" s="168"/>
      <c r="Q55" s="168"/>
      <c r="R55" s="168"/>
    </row>
    <row r="56" ht="19.95" customHeight="1" spans="1:18" x14ac:dyDescent="0.25">
      <c r="A56" s="177">
        <v>66</v>
      </c>
      <c r="B56" s="178">
        <v>46272</v>
      </c>
      <c r="C56" s="177" t="s">
        <v>117</v>
      </c>
      <c r="D56" s="177"/>
      <c r="E56" s="177" t="s">
        <v>118</v>
      </c>
      <c r="F56" s="177" t="s">
        <v>60</v>
      </c>
      <c r="G56" s="177" t="s">
        <v>70</v>
      </c>
      <c r="H56" s="179">
        <v>50</v>
      </c>
      <c r="I56" s="179">
        <v>10300</v>
      </c>
      <c r="J56" s="180">
        <f>IFERROR(INDEX(Products!$E$4:$E$500,MATCH(tblLines[[#This Row],[Description (Product)]],Products!$B$4:$B$500,0)),"")</f>
        <v>25</v>
      </c>
      <c r="K56" s="181">
        <f>IF(OR(tblLines[[#This Row],[Description (Product)]]="",tblLines[[#This Row],[Rate 40Kg]]=""),"",tblLines[[#This Row],[Rate 40Kg]]/40*tblLines[[#This Row],[Pack Wt (KG)]])</f>
        <v>6437.5</v>
      </c>
      <c r="L56" s="182">
        <f>IF(OR(tblLines[[#This Row],[Rate / Pack]]="",tblLines[[#This Row],[Qty (Packs)]]=""),"",ROUND(tblLines[[#This Row],[Rate / Pack]]*tblLines[[#This Row],[Qty (Packs)]],0))</f>
        <v>321875</v>
      </c>
      <c r="M56" s="183">
        <f>IF(tblLines[[#This Row],[Amount]]="","",tblLines[[#This Row],[Amount]]*IFERROR(INDEX(Products!$I$4:$I$500,MATCH(tblLines[[#This Row],[Description (Product)]],Products!$B$4:$B$500,0)),frmCommRate))</f>
        <v>1126.5625</v>
      </c>
      <c r="N56" s="179">
        <f>IF(tblLines[[#This Row],[Qty (Packs)]]="","",tblLines[[#This Row],[Qty (Packs)]]*tblLines[[#This Row],[Pack Wt (KG)]])</f>
        <v>1250</v>
      </c>
      <c r="O56" s="168"/>
      <c r="P56" s="168"/>
      <c r="Q56" s="168"/>
      <c r="R56" s="168"/>
    </row>
    <row r="57" ht="19.95" customHeight="1" spans="1:18" x14ac:dyDescent="0.25">
      <c r="A57" s="177">
        <v>78</v>
      </c>
      <c r="B57" s="178">
        <v>46272</v>
      </c>
      <c r="C57" s="177" t="s">
        <v>119</v>
      </c>
      <c r="D57" s="177"/>
      <c r="E57" s="177" t="s">
        <v>120</v>
      </c>
      <c r="F57" s="177" t="s">
        <v>60</v>
      </c>
      <c r="G57" s="177" t="s">
        <v>72</v>
      </c>
      <c r="H57" s="179">
        <v>600</v>
      </c>
      <c r="I57" s="179">
        <v>12150</v>
      </c>
      <c r="J57" s="180">
        <f>IFERROR(INDEX(Products!$E$4:$E$500,MATCH(tblLines[[#This Row],[Description (Product)]],Products!$B$4:$B$500,0)),"")</f>
        <v>25</v>
      </c>
      <c r="K57" s="181">
        <f>IF(OR(tblLines[[#This Row],[Description (Product)]]="",tblLines[[#This Row],[Rate 40Kg]]=""),"",tblLines[[#This Row],[Rate 40Kg]]/40*tblLines[[#This Row],[Pack Wt (KG)]])</f>
        <v>7593.75</v>
      </c>
      <c r="L57" s="182">
        <f>IF(OR(tblLines[[#This Row],[Rate / Pack]]="",tblLines[[#This Row],[Qty (Packs)]]=""),"",ROUND(tblLines[[#This Row],[Rate / Pack]]*tblLines[[#This Row],[Qty (Packs)]],0))</f>
        <v>4556250</v>
      </c>
      <c r="M57" s="183">
        <f>IF(tblLines[[#This Row],[Amount]]="","",tblLines[[#This Row],[Amount]]*IFERROR(INDEX(Products!$I$4:$I$500,MATCH(tblLines[[#This Row],[Description (Product)]],Products!$B$4:$B$500,0)),frmCommRate))</f>
        <v>15946.875</v>
      </c>
      <c r="N57" s="179">
        <f>IF(tblLines[[#This Row],[Qty (Packs)]]="","",tblLines[[#This Row],[Qty (Packs)]]*tblLines[[#This Row],[Pack Wt (KG)]])</f>
        <v>15000</v>
      </c>
      <c r="O57" s="168"/>
      <c r="P57" s="168"/>
      <c r="Q57" s="168"/>
      <c r="R57" s="168"/>
    </row>
    <row r="58" ht="19.95" customHeight="1" spans="1:18" x14ac:dyDescent="0.25">
      <c r="A58" s="177">
        <v>89</v>
      </c>
      <c r="B58" s="178">
        <v>46273</v>
      </c>
      <c r="C58" s="177" t="s">
        <v>121</v>
      </c>
      <c r="D58" s="177"/>
      <c r="E58" s="177" t="s">
        <v>122</v>
      </c>
      <c r="F58" s="177" t="s">
        <v>60</v>
      </c>
      <c r="G58" s="177" t="s">
        <v>77</v>
      </c>
      <c r="H58" s="179">
        <v>100</v>
      </c>
      <c r="I58" s="179">
        <v>8500</v>
      </c>
      <c r="J58" s="180">
        <f>IFERROR(INDEX(Products!$E$4:$E$500,MATCH(tblLines[[#This Row],[Description (Product)]],Products!$B$4:$B$500,0)),"")</f>
        <v>25</v>
      </c>
      <c r="K58" s="181">
        <f>IF(OR(tblLines[[#This Row],[Description (Product)]]="",tblLines[[#This Row],[Rate 40Kg]]=""),"",tblLines[[#This Row],[Rate 40Kg]]/40*tblLines[[#This Row],[Pack Wt (KG)]])</f>
        <v>5312.5</v>
      </c>
      <c r="L58" s="182">
        <f>IF(OR(tblLines[[#This Row],[Rate / Pack]]="",tblLines[[#This Row],[Qty (Packs)]]=""),"",ROUND(tblLines[[#This Row],[Rate / Pack]]*tblLines[[#This Row],[Qty (Packs)]],0))</f>
        <v>531250</v>
      </c>
      <c r="M58" s="183">
        <f>IF(tblLines[[#This Row],[Amount]]="","",tblLines[[#This Row],[Amount]]*IFERROR(INDEX(Products!$I$4:$I$500,MATCH(tblLines[[#This Row],[Description (Product)]],Products!$B$4:$B$500,0)),frmCommRate))</f>
        <v>1859.375</v>
      </c>
      <c r="N58" s="179">
        <f>IF(tblLines[[#This Row],[Qty (Packs)]]="","",tblLines[[#This Row],[Qty (Packs)]]*tblLines[[#This Row],[Pack Wt (KG)]])</f>
        <v>2500</v>
      </c>
      <c r="O58" s="168"/>
      <c r="P58" s="168"/>
      <c r="Q58" s="168"/>
      <c r="R58" s="168"/>
    </row>
    <row r="59" ht="19.95" customHeight="1" spans="1:18" x14ac:dyDescent="0.25">
      <c r="A59" s="177">
        <v>89</v>
      </c>
      <c r="B59" s="178">
        <v>46273</v>
      </c>
      <c r="C59" s="177" t="s">
        <v>121</v>
      </c>
      <c r="D59" s="177"/>
      <c r="E59" s="177" t="s">
        <v>122</v>
      </c>
      <c r="F59" s="177" t="s">
        <v>60</v>
      </c>
      <c r="G59" s="177" t="s">
        <v>74</v>
      </c>
      <c r="H59" s="179">
        <v>20</v>
      </c>
      <c r="I59" s="179">
        <v>7850</v>
      </c>
      <c r="J59" s="180">
        <f>IFERROR(INDEX(Products!$E$4:$E$500,MATCH(tblLines[[#This Row],[Description (Product)]],Products!$B$4:$B$500,0)),"")</f>
        <v>25</v>
      </c>
      <c r="K59" s="181">
        <f>IF(OR(tblLines[[#This Row],[Description (Product)]]="",tblLines[[#This Row],[Rate 40Kg]]=""),"",tblLines[[#This Row],[Rate 40Kg]]/40*tblLines[[#This Row],[Pack Wt (KG)]])</f>
        <v>4906.25</v>
      </c>
      <c r="L59" s="182">
        <f>IF(OR(tblLines[[#This Row],[Rate / Pack]]="",tblLines[[#This Row],[Qty (Packs)]]=""),"",ROUND(tblLines[[#This Row],[Rate / Pack]]*tblLines[[#This Row],[Qty (Packs)]],0))</f>
        <v>98125</v>
      </c>
      <c r="M59" s="183">
        <f>IF(tblLines[[#This Row],[Amount]]="","",tblLines[[#This Row],[Amount]]*IFERROR(INDEX(Products!$I$4:$I$500,MATCH(tblLines[[#This Row],[Description (Product)]],Products!$B$4:$B$500,0)),frmCommRate))</f>
        <v>343.4375</v>
      </c>
      <c r="N59" s="179">
        <f>IF(tblLines[[#This Row],[Qty (Packs)]]="","",tblLines[[#This Row],[Qty (Packs)]]*tblLines[[#This Row],[Pack Wt (KG)]])</f>
        <v>500</v>
      </c>
      <c r="O59" s="168"/>
      <c r="P59" s="168"/>
      <c r="Q59" s="168"/>
      <c r="R59" s="168"/>
    </row>
    <row r="60" ht="19.95" customHeight="1" spans="1:18" x14ac:dyDescent="0.25">
      <c r="A60" s="177">
        <v>89</v>
      </c>
      <c r="B60" s="178">
        <v>46273</v>
      </c>
      <c r="C60" s="177" t="s">
        <v>121</v>
      </c>
      <c r="D60" s="177"/>
      <c r="E60" s="177" t="s">
        <v>122</v>
      </c>
      <c r="F60" s="177" t="s">
        <v>60</v>
      </c>
      <c r="G60" s="177" t="s">
        <v>82</v>
      </c>
      <c r="H60" s="179">
        <v>180</v>
      </c>
      <c r="I60" s="179">
        <v>13500</v>
      </c>
      <c r="J60" s="180">
        <f>IFERROR(INDEX(Products!$E$4:$E$500,MATCH(tblLines[[#This Row],[Description (Product)]],Products!$B$4:$B$500,0)),"")</f>
        <v>25</v>
      </c>
      <c r="K60" s="181">
        <f>IF(OR(tblLines[[#This Row],[Description (Product)]]="",tblLines[[#This Row],[Rate 40Kg]]=""),"",tblLines[[#This Row],[Rate 40Kg]]/40*tblLines[[#This Row],[Pack Wt (KG)]])</f>
        <v>8437.5</v>
      </c>
      <c r="L60" s="182">
        <f>IF(OR(tblLines[[#This Row],[Rate / Pack]]="",tblLines[[#This Row],[Qty (Packs)]]=""),"",ROUND(tblLines[[#This Row],[Rate / Pack]]*tblLines[[#This Row],[Qty (Packs)]],0))</f>
        <v>1518750</v>
      </c>
      <c r="M60" s="183">
        <f>IF(tblLines[[#This Row],[Amount]]="","",tblLines[[#This Row],[Amount]]*IFERROR(INDEX(Products!$I$4:$I$500,MATCH(tblLines[[#This Row],[Description (Product)]],Products!$B$4:$B$500,0)),frmCommRate))</f>
        <v>5315.625</v>
      </c>
      <c r="N60" s="179">
        <f>IF(tblLines[[#This Row],[Qty (Packs)]]="","",tblLines[[#This Row],[Qty (Packs)]]*tblLines[[#This Row],[Pack Wt (KG)]])</f>
        <v>4500</v>
      </c>
      <c r="O60" s="168"/>
      <c r="P60" s="168"/>
      <c r="Q60" s="168"/>
      <c r="R60" s="168"/>
    </row>
    <row r="61" ht="19.95" customHeight="1" spans="1:18" x14ac:dyDescent="0.25">
      <c r="A61" s="177">
        <v>89</v>
      </c>
      <c r="B61" s="178">
        <v>46273</v>
      </c>
      <c r="C61" s="177" t="s">
        <v>121</v>
      </c>
      <c r="D61" s="177"/>
      <c r="E61" s="177" t="s">
        <v>122</v>
      </c>
      <c r="F61" s="177" t="s">
        <v>60</v>
      </c>
      <c r="G61" s="177" t="s">
        <v>72</v>
      </c>
      <c r="H61" s="179">
        <v>220</v>
      </c>
      <c r="I61" s="179">
        <v>12350</v>
      </c>
      <c r="J61" s="180">
        <f>IFERROR(INDEX(Products!$E$4:$E$500,MATCH(tblLines[[#This Row],[Description (Product)]],Products!$B$4:$B$500,0)),"")</f>
        <v>25</v>
      </c>
      <c r="K61" s="181">
        <f>IF(OR(tblLines[[#This Row],[Description (Product)]]="",tblLines[[#This Row],[Rate 40Kg]]=""),"",tblLines[[#This Row],[Rate 40Kg]]/40*tblLines[[#This Row],[Pack Wt (KG)]])</f>
        <v>7718.75</v>
      </c>
      <c r="L61" s="182">
        <f>IF(OR(tblLines[[#This Row],[Rate / Pack]]="",tblLines[[#This Row],[Qty (Packs)]]=""),"",ROUND(tblLines[[#This Row],[Rate / Pack]]*tblLines[[#This Row],[Qty (Packs)]],0))</f>
        <v>1698125</v>
      </c>
      <c r="M61" s="183">
        <f>IF(tblLines[[#This Row],[Amount]]="","",tblLines[[#This Row],[Amount]]*IFERROR(INDEX(Products!$I$4:$I$500,MATCH(tblLines[[#This Row],[Description (Product)]],Products!$B$4:$B$500,0)),frmCommRate))</f>
        <v>5943.4375</v>
      </c>
      <c r="N61" s="179">
        <f>IF(tblLines[[#This Row],[Qty (Packs)]]="","",tblLines[[#This Row],[Qty (Packs)]]*tblLines[[#This Row],[Pack Wt (KG)]])</f>
        <v>5500</v>
      </c>
      <c r="O61" s="168"/>
      <c r="P61" s="168"/>
      <c r="Q61" s="168"/>
      <c r="R61" s="168"/>
    </row>
    <row r="62" ht="19.95" customHeight="1" spans="1:18" x14ac:dyDescent="0.25">
      <c r="A62" s="177">
        <v>90</v>
      </c>
      <c r="B62" s="178">
        <v>46273</v>
      </c>
      <c r="C62" s="177" t="s">
        <v>123</v>
      </c>
      <c r="D62" s="177"/>
      <c r="E62" s="177" t="s">
        <v>124</v>
      </c>
      <c r="F62" s="177" t="s">
        <v>60</v>
      </c>
      <c r="G62" s="177" t="s">
        <v>65</v>
      </c>
      <c r="H62" s="179">
        <v>25</v>
      </c>
      <c r="I62" s="179">
        <v>9150</v>
      </c>
      <c r="J62" s="180">
        <f>IFERROR(INDEX(Products!$E$4:$E$500,MATCH(tblLines[[#This Row],[Description (Product)]],Products!$B$4:$B$500,0)),"")</f>
        <v>25</v>
      </c>
      <c r="K62" s="181">
        <f>IF(OR(tblLines[[#This Row],[Description (Product)]]="",tblLines[[#This Row],[Rate 40Kg]]=""),"",tblLines[[#This Row],[Rate 40Kg]]/40*tblLines[[#This Row],[Pack Wt (KG)]])</f>
        <v>5718.75</v>
      </c>
      <c r="L62" s="182">
        <f>IF(OR(tblLines[[#This Row],[Rate / Pack]]="",tblLines[[#This Row],[Qty (Packs)]]=""),"",ROUND(tblLines[[#This Row],[Rate / Pack]]*tblLines[[#This Row],[Qty (Packs)]],0))</f>
        <v>142969</v>
      </c>
      <c r="M62" s="183">
        <f>IF(tblLines[[#This Row],[Amount]]="","",tblLines[[#This Row],[Amount]]*IFERROR(INDEX(Products!$I$4:$I$500,MATCH(tblLines[[#This Row],[Description (Product)]],Products!$B$4:$B$500,0)),frmCommRate))</f>
        <v>500.3915</v>
      </c>
      <c r="N62" s="179">
        <f>IF(tblLines[[#This Row],[Qty (Packs)]]="","",tblLines[[#This Row],[Qty (Packs)]]*tblLines[[#This Row],[Pack Wt (KG)]])</f>
        <v>625</v>
      </c>
      <c r="O62" s="168"/>
      <c r="P62" s="168"/>
      <c r="Q62" s="168"/>
      <c r="R62" s="168"/>
    </row>
    <row r="63" ht="19.95" customHeight="1" spans="1:18" x14ac:dyDescent="0.25">
      <c r="A63" s="177">
        <v>90</v>
      </c>
      <c r="B63" s="178">
        <v>46273</v>
      </c>
      <c r="C63" s="177" t="s">
        <v>123</v>
      </c>
      <c r="D63" s="177"/>
      <c r="E63" s="177" t="s">
        <v>124</v>
      </c>
      <c r="F63" s="177" t="s">
        <v>60</v>
      </c>
      <c r="G63" s="177" t="s">
        <v>70</v>
      </c>
      <c r="H63" s="179">
        <v>20</v>
      </c>
      <c r="I63" s="179">
        <v>10300</v>
      </c>
      <c r="J63" s="180">
        <f>IFERROR(INDEX(Products!$E$4:$E$500,MATCH(tblLines[[#This Row],[Description (Product)]],Products!$B$4:$B$500,0)),"")</f>
        <v>25</v>
      </c>
      <c r="K63" s="181">
        <f>IF(OR(tblLines[[#This Row],[Description (Product)]]="",tblLines[[#This Row],[Rate 40Kg]]=""),"",tblLines[[#This Row],[Rate 40Kg]]/40*tblLines[[#This Row],[Pack Wt (KG)]])</f>
        <v>6437.5</v>
      </c>
      <c r="L63" s="182">
        <f>IF(OR(tblLines[[#This Row],[Rate / Pack]]="",tblLines[[#This Row],[Qty (Packs)]]=""),"",ROUND(tblLines[[#This Row],[Rate / Pack]]*tblLines[[#This Row],[Qty (Packs)]],0))</f>
        <v>128750</v>
      </c>
      <c r="M63" s="183">
        <f>IF(tblLines[[#This Row],[Amount]]="","",tblLines[[#This Row],[Amount]]*IFERROR(INDEX(Products!$I$4:$I$500,MATCH(tblLines[[#This Row],[Description (Product)]],Products!$B$4:$B$500,0)),frmCommRate))</f>
        <v>450.625</v>
      </c>
      <c r="N63" s="179">
        <f>IF(tblLines[[#This Row],[Qty (Packs)]]="","",tblLines[[#This Row],[Qty (Packs)]]*tblLines[[#This Row],[Pack Wt (KG)]])</f>
        <v>500</v>
      </c>
      <c r="O63" s="168"/>
      <c r="P63" s="168"/>
      <c r="Q63" s="168"/>
      <c r="R63" s="168"/>
    </row>
    <row r="64" ht="19.95" customHeight="1" spans="1:18" x14ac:dyDescent="0.25">
      <c r="A64" s="177">
        <v>90</v>
      </c>
      <c r="B64" s="178">
        <v>46273</v>
      </c>
      <c r="C64" s="177" t="s">
        <v>123</v>
      </c>
      <c r="D64" s="177"/>
      <c r="E64" s="177" t="s">
        <v>124</v>
      </c>
      <c r="F64" s="177" t="s">
        <v>60</v>
      </c>
      <c r="G64" s="177" t="s">
        <v>30</v>
      </c>
      <c r="H64" s="179">
        <v>15</v>
      </c>
      <c r="I64" s="179">
        <v>8550</v>
      </c>
      <c r="J64" s="180">
        <f>IFERROR(INDEX(Products!$E$4:$E$500,MATCH(tblLines[[#This Row],[Description (Product)]],Products!$B$4:$B$500,0)),"")</f>
        <v>25</v>
      </c>
      <c r="K64" s="181">
        <f>IF(OR(tblLines[[#This Row],[Description (Product)]]="",tblLines[[#This Row],[Rate 40Kg]]=""),"",tblLines[[#This Row],[Rate 40Kg]]/40*tblLines[[#This Row],[Pack Wt (KG)]])</f>
        <v>5343.75</v>
      </c>
      <c r="L64" s="182">
        <f>IF(OR(tblLines[[#This Row],[Rate / Pack]]="",tblLines[[#This Row],[Qty (Packs)]]=""),"",ROUND(tblLines[[#This Row],[Rate / Pack]]*tblLines[[#This Row],[Qty (Packs)]],0))</f>
        <v>80156</v>
      </c>
      <c r="M64" s="183">
        <f>IF(tblLines[[#This Row],[Amount]]="","",tblLines[[#This Row],[Amount]]*IFERROR(INDEX(Products!$I$4:$I$500,MATCH(tblLines[[#This Row],[Description (Product)]],Products!$B$4:$B$500,0)),frmCommRate))</f>
        <v>280.546</v>
      </c>
      <c r="N64" s="179">
        <f>IF(tblLines[[#This Row],[Qty (Packs)]]="","",tblLines[[#This Row],[Qty (Packs)]]*tblLines[[#This Row],[Pack Wt (KG)]])</f>
        <v>375</v>
      </c>
      <c r="O64" s="168"/>
      <c r="P64" s="168"/>
      <c r="Q64" s="168"/>
      <c r="R64" s="168"/>
    </row>
    <row r="65" ht="19.95" customHeight="1" spans="1:18" x14ac:dyDescent="0.25">
      <c r="A65" s="177">
        <v>90</v>
      </c>
      <c r="B65" s="178">
        <v>46273</v>
      </c>
      <c r="C65" s="177" t="s">
        <v>123</v>
      </c>
      <c r="D65" s="177"/>
      <c r="E65" s="177" t="s">
        <v>124</v>
      </c>
      <c r="F65" s="177" t="s">
        <v>60</v>
      </c>
      <c r="G65" s="177" t="s">
        <v>27</v>
      </c>
      <c r="H65" s="179">
        <v>10</v>
      </c>
      <c r="I65" s="179">
        <v>8150</v>
      </c>
      <c r="J65" s="180">
        <f>IFERROR(INDEX(Products!$E$4:$E$500,MATCH(tblLines[[#This Row],[Description (Product)]],Products!$B$4:$B$500,0)),"")</f>
        <v>25</v>
      </c>
      <c r="K65" s="181">
        <f>IF(OR(tblLines[[#This Row],[Description (Product)]]="",tblLines[[#This Row],[Rate 40Kg]]=""),"",tblLines[[#This Row],[Rate 40Kg]]/40*tblLines[[#This Row],[Pack Wt (KG)]])</f>
        <v>5093.75</v>
      </c>
      <c r="L65" s="182">
        <f>IF(OR(tblLines[[#This Row],[Rate / Pack]]="",tblLines[[#This Row],[Qty (Packs)]]=""),"",ROUND(tblLines[[#This Row],[Rate / Pack]]*tblLines[[#This Row],[Qty (Packs)]],0))</f>
        <v>50938</v>
      </c>
      <c r="M65" s="183">
        <f>IF(tblLines[[#This Row],[Amount]]="","",tblLines[[#This Row],[Amount]]*IFERROR(INDEX(Products!$I$4:$I$500,MATCH(tblLines[[#This Row],[Description (Product)]],Products!$B$4:$B$500,0)),frmCommRate))</f>
        <v>178.28300000000002</v>
      </c>
      <c r="N65" s="179">
        <f>IF(tblLines[[#This Row],[Qty (Packs)]]="","",tblLines[[#This Row],[Qty (Packs)]]*tblLines[[#This Row],[Pack Wt (KG)]])</f>
        <v>250</v>
      </c>
      <c r="O65" s="168"/>
      <c r="P65" s="168"/>
      <c r="Q65" s="168"/>
      <c r="R65" s="168"/>
    </row>
    <row r="66" ht="19.95" customHeight="1" spans="1:18" x14ac:dyDescent="0.25">
      <c r="A66" s="177">
        <v>53</v>
      </c>
      <c r="B66" s="178">
        <v>46270</v>
      </c>
      <c r="C66" s="177" t="s">
        <v>10</v>
      </c>
      <c r="D66" s="177" t="s">
        <v>125</v>
      </c>
      <c r="E66" s="177" t="s">
        <v>126</v>
      </c>
      <c r="F66" s="177" t="s">
        <v>127</v>
      </c>
      <c r="G66" s="177" t="s">
        <v>82</v>
      </c>
      <c r="H66" s="179">
        <v>550</v>
      </c>
      <c r="I66" s="179">
        <v>13500</v>
      </c>
      <c r="J66" s="180">
        <f>IFERROR(INDEX(Products!$E$4:$E$500,MATCH(tblLines[[#This Row],[Description (Product)]],Products!$B$4:$B$500,0)),"")</f>
        <v>25</v>
      </c>
      <c r="K66" s="181">
        <f>IF(OR(tblLines[[#This Row],[Description (Product)]]="",tblLines[[#This Row],[Rate 40Kg]]=""),"",tblLines[[#This Row],[Rate 40Kg]]/40*tblLines[[#This Row],[Pack Wt (KG)]])</f>
        <v>8437.5</v>
      </c>
      <c r="L66" s="182">
        <f>IF(OR(tblLines[[#This Row],[Rate / Pack]]="",tblLines[[#This Row],[Qty (Packs)]]=""),"",ROUND(tblLines[[#This Row],[Rate / Pack]]*tblLines[[#This Row],[Qty (Packs)]],0))</f>
        <v>4640625</v>
      </c>
      <c r="M66" s="183">
        <f>IF(tblLines[[#This Row],[Amount]]="","",tblLines[[#This Row],[Amount]]*IFERROR(INDEX(Products!$I$4:$I$500,MATCH(tblLines[[#This Row],[Description (Product)]],Products!$B$4:$B$500,0)),frmCommRate))</f>
        <v>16242.1875</v>
      </c>
      <c r="N66" s="179">
        <f>IF(tblLines[[#This Row],[Qty (Packs)]]="","",tblLines[[#This Row],[Qty (Packs)]]*tblLines[[#This Row],[Pack Wt (KG)]])</f>
        <v>13750</v>
      </c>
      <c r="O66" s="168"/>
      <c r="P66" s="168"/>
      <c r="Q66" s="168"/>
      <c r="R66" s="168"/>
    </row>
    <row r="67" ht="19.95" customHeight="1" spans="1:18" x14ac:dyDescent="0.25">
      <c r="A67" s="177">
        <v>53</v>
      </c>
      <c r="B67" s="178">
        <v>46270</v>
      </c>
      <c r="C67" s="177" t="s">
        <v>10</v>
      </c>
      <c r="D67" s="177" t="s">
        <v>125</v>
      </c>
      <c r="E67" s="177" t="s">
        <v>126</v>
      </c>
      <c r="F67" s="177" t="s">
        <v>127</v>
      </c>
      <c r="G67" s="177" t="s">
        <v>74</v>
      </c>
      <c r="H67" s="179">
        <v>200</v>
      </c>
      <c r="I67" s="179">
        <v>7650</v>
      </c>
      <c r="J67" s="180">
        <f>IFERROR(INDEX(Products!$E$4:$E$500,MATCH(tblLines[[#This Row],[Description (Product)]],Products!$B$4:$B$500,0)),"")</f>
        <v>25</v>
      </c>
      <c r="K67" s="181">
        <f>IF(OR(tblLines[[#This Row],[Description (Product)]]="",tblLines[[#This Row],[Rate 40Kg]]=""),"",tblLines[[#This Row],[Rate 40Kg]]/40*tblLines[[#This Row],[Pack Wt (KG)]])</f>
        <v>4781.25</v>
      </c>
      <c r="L67" s="182">
        <f>IF(OR(tblLines[[#This Row],[Rate / Pack]]="",tblLines[[#This Row],[Qty (Packs)]]=""),"",ROUND(tblLines[[#This Row],[Rate / Pack]]*tblLines[[#This Row],[Qty (Packs)]],0))</f>
        <v>956250</v>
      </c>
      <c r="M67" s="183">
        <f>IF(tblLines[[#This Row],[Amount]]="","",tblLines[[#This Row],[Amount]]*IFERROR(INDEX(Products!$I$4:$I$500,MATCH(tblLines[[#This Row],[Description (Product)]],Products!$B$4:$B$500,0)),frmCommRate))</f>
        <v>3346.875</v>
      </c>
      <c r="N67" s="179">
        <f>IF(tblLines[[#This Row],[Qty (Packs)]]="","",tblLines[[#This Row],[Qty (Packs)]]*tblLines[[#This Row],[Pack Wt (KG)]])</f>
        <v>5000</v>
      </c>
      <c r="O67" s="168"/>
      <c r="P67" s="168"/>
      <c r="Q67" s="168"/>
      <c r="R67" s="168"/>
    </row>
    <row r="68" ht="19.95" customHeight="1" spans="1:18" x14ac:dyDescent="0.25">
      <c r="A68" s="177">
        <v>67</v>
      </c>
      <c r="B68" s="178">
        <v>46272</v>
      </c>
      <c r="C68" s="177" t="s">
        <v>128</v>
      </c>
      <c r="D68" s="177"/>
      <c r="E68" s="177" t="s">
        <v>129</v>
      </c>
      <c r="F68" s="177" t="s">
        <v>60</v>
      </c>
      <c r="G68" s="177" t="s">
        <v>74</v>
      </c>
      <c r="H68" s="179">
        <v>300</v>
      </c>
      <c r="I68" s="179">
        <v>7850</v>
      </c>
      <c r="J68" s="180">
        <f>IFERROR(INDEX(Products!$E$4:$E$500,MATCH(tblLines[[#This Row],[Description (Product)]],Products!$B$4:$B$500,0)),"")</f>
        <v>25</v>
      </c>
      <c r="K68" s="181">
        <f>IF(OR(tblLines[[#This Row],[Description (Product)]]="",tblLines[[#This Row],[Rate 40Kg]]=""),"",tblLines[[#This Row],[Rate 40Kg]]/40*tblLines[[#This Row],[Pack Wt (KG)]])</f>
        <v>4906.25</v>
      </c>
      <c r="L68" s="182">
        <f>IF(OR(tblLines[[#This Row],[Rate / Pack]]="",tblLines[[#This Row],[Qty (Packs)]]=""),"",ROUND(tblLines[[#This Row],[Rate / Pack]]*tblLines[[#This Row],[Qty (Packs)]],0))</f>
        <v>1471875</v>
      </c>
      <c r="M68" s="183">
        <f>IF(tblLines[[#This Row],[Amount]]="","",tblLines[[#This Row],[Amount]]*IFERROR(INDEX(Products!$I$4:$I$500,MATCH(tblLines[[#This Row],[Description (Product)]],Products!$B$4:$B$500,0)),frmCommRate))</f>
        <v>5151.5625</v>
      </c>
      <c r="N68" s="179">
        <f>IF(tblLines[[#This Row],[Qty (Packs)]]="","",tblLines[[#This Row],[Qty (Packs)]]*tblLines[[#This Row],[Pack Wt (KG)]])</f>
        <v>7500</v>
      </c>
      <c r="O68" s="168"/>
      <c r="P68" s="168"/>
      <c r="Q68" s="168"/>
      <c r="R68" s="168"/>
    </row>
    <row r="69" ht="19.95" customHeight="1" spans="1:18" x14ac:dyDescent="0.25">
      <c r="A69" s="177">
        <v>67</v>
      </c>
      <c r="B69" s="178">
        <v>46272</v>
      </c>
      <c r="C69" s="177" t="s">
        <v>128</v>
      </c>
      <c r="D69" s="177"/>
      <c r="E69" s="177" t="s">
        <v>129</v>
      </c>
      <c r="F69" s="177" t="s">
        <v>60</v>
      </c>
      <c r="G69" s="177" t="s">
        <v>82</v>
      </c>
      <c r="H69" s="179">
        <v>260</v>
      </c>
      <c r="I69" s="179">
        <v>13500</v>
      </c>
      <c r="J69" s="180">
        <f>IFERROR(INDEX(Products!$E$4:$E$500,MATCH(tblLines[[#This Row],[Description (Product)]],Products!$B$4:$B$500,0)),"")</f>
        <v>25</v>
      </c>
      <c r="K69" s="181">
        <f>IF(OR(tblLines[[#This Row],[Description (Product)]]="",tblLines[[#This Row],[Rate 40Kg]]=""),"",tblLines[[#This Row],[Rate 40Kg]]/40*tblLines[[#This Row],[Pack Wt (KG)]])</f>
        <v>8437.5</v>
      </c>
      <c r="L69" s="182">
        <f>IF(OR(tblLines[[#This Row],[Rate / Pack]]="",tblLines[[#This Row],[Qty (Packs)]]=""),"",ROUND(tblLines[[#This Row],[Rate / Pack]]*tblLines[[#This Row],[Qty (Packs)]],0))</f>
        <v>2193750</v>
      </c>
      <c r="M69" s="183">
        <f>IF(tblLines[[#This Row],[Amount]]="","",tblLines[[#This Row],[Amount]]*IFERROR(INDEX(Products!$I$4:$I$500,MATCH(tblLines[[#This Row],[Description (Product)]],Products!$B$4:$B$500,0)),frmCommRate))</f>
        <v>7678.125</v>
      </c>
      <c r="N69" s="179">
        <f>IF(tblLines[[#This Row],[Qty (Packs)]]="","",tblLines[[#This Row],[Qty (Packs)]]*tblLines[[#This Row],[Pack Wt (KG)]])</f>
        <v>6500</v>
      </c>
      <c r="O69" s="168"/>
      <c r="P69" s="168"/>
      <c r="Q69" s="168"/>
      <c r="R69" s="168"/>
    </row>
    <row r="70" ht="19.95" customHeight="1" spans="1:18" x14ac:dyDescent="0.25">
      <c r="A70" s="177">
        <v>67</v>
      </c>
      <c r="B70" s="178">
        <v>46272</v>
      </c>
      <c r="C70" s="177" t="s">
        <v>128</v>
      </c>
      <c r="D70" s="177"/>
      <c r="E70" s="177" t="s">
        <v>129</v>
      </c>
      <c r="F70" s="177" t="s">
        <v>60</v>
      </c>
      <c r="G70" s="177" t="s">
        <v>72</v>
      </c>
      <c r="H70" s="179">
        <v>200</v>
      </c>
      <c r="I70" s="179">
        <v>12350</v>
      </c>
      <c r="J70" s="180">
        <f>IFERROR(INDEX(Products!$E$4:$E$500,MATCH(tblLines[[#This Row],[Description (Product)]],Products!$B$4:$B$500,0)),"")</f>
        <v>25</v>
      </c>
      <c r="K70" s="181">
        <f>IF(OR(tblLines[[#This Row],[Description (Product)]]="",tblLines[[#This Row],[Rate 40Kg]]=""),"",tblLines[[#This Row],[Rate 40Kg]]/40*tblLines[[#This Row],[Pack Wt (KG)]])</f>
        <v>7718.75</v>
      </c>
      <c r="L70" s="182">
        <f>IF(OR(tblLines[[#This Row],[Rate / Pack]]="",tblLines[[#This Row],[Qty (Packs)]]=""),"",ROUND(tblLines[[#This Row],[Rate / Pack]]*tblLines[[#This Row],[Qty (Packs)]],0))</f>
        <v>1543750</v>
      </c>
      <c r="M70" s="183">
        <f>IF(tblLines[[#This Row],[Amount]]="","",tblLines[[#This Row],[Amount]]*IFERROR(INDEX(Products!$I$4:$I$500,MATCH(tblLines[[#This Row],[Description (Product)]],Products!$B$4:$B$500,0)),frmCommRate))</f>
        <v>5403.125</v>
      </c>
      <c r="N70" s="179">
        <f>IF(tblLines[[#This Row],[Qty (Packs)]]="","",tblLines[[#This Row],[Qty (Packs)]]*tblLines[[#This Row],[Pack Wt (KG)]])</f>
        <v>5000</v>
      </c>
      <c r="O70" s="168"/>
      <c r="P70" s="168"/>
      <c r="Q70" s="168"/>
      <c r="R70" s="168"/>
    </row>
    <row r="71" ht="19.95" customHeight="1" spans="1:18" x14ac:dyDescent="0.25">
      <c r="A71" s="177">
        <v>67</v>
      </c>
      <c r="B71" s="178">
        <v>46272</v>
      </c>
      <c r="C71" s="177" t="s">
        <v>128</v>
      </c>
      <c r="D71" s="177"/>
      <c r="E71" s="177" t="s">
        <v>129</v>
      </c>
      <c r="F71" s="177" t="s">
        <v>60</v>
      </c>
      <c r="G71" s="177" t="s">
        <v>76</v>
      </c>
      <c r="H71" s="179">
        <v>200</v>
      </c>
      <c r="I71" s="179">
        <v>6050</v>
      </c>
      <c r="J71" s="180">
        <f>IFERROR(INDEX(Products!$E$4:$E$500,MATCH(tblLines[[#This Row],[Description (Product)]],Products!$B$4:$B$500,0)),"")</f>
        <v>25</v>
      </c>
      <c r="K71" s="181">
        <f>IF(OR(tblLines[[#This Row],[Description (Product)]]="",tblLines[[#This Row],[Rate 40Kg]]=""),"",tblLines[[#This Row],[Rate 40Kg]]/40*tblLines[[#This Row],[Pack Wt (KG)]])</f>
        <v>3781.25</v>
      </c>
      <c r="L71" s="182">
        <f>IF(OR(tblLines[[#This Row],[Rate / Pack]]="",tblLines[[#This Row],[Qty (Packs)]]=""),"",ROUND(tblLines[[#This Row],[Rate / Pack]]*tblLines[[#This Row],[Qty (Packs)]],0))</f>
        <v>756250</v>
      </c>
      <c r="M71" s="183">
        <f>IF(tblLines[[#This Row],[Amount]]="","",tblLines[[#This Row],[Amount]]*IFERROR(INDEX(Products!$I$4:$I$500,MATCH(tblLines[[#This Row],[Description (Product)]],Products!$B$4:$B$500,0)),frmCommRate))</f>
        <v>2646.875</v>
      </c>
      <c r="N71" s="179">
        <f>IF(tblLines[[#This Row],[Qty (Packs)]]="","",tblLines[[#This Row],[Qty (Packs)]]*tblLines[[#This Row],[Pack Wt (KG)]])</f>
        <v>5000</v>
      </c>
      <c r="O71" s="168"/>
      <c r="P71" s="168"/>
      <c r="Q71" s="168"/>
      <c r="R71" s="168"/>
    </row>
    <row r="72" ht="19.95" customHeight="1" spans="1:18" x14ac:dyDescent="0.25">
      <c r="A72" s="177">
        <v>68</v>
      </c>
      <c r="B72" s="178">
        <v>46272</v>
      </c>
      <c r="C72" s="177" t="s">
        <v>128</v>
      </c>
      <c r="D72" s="177"/>
      <c r="E72" s="177" t="s">
        <v>129</v>
      </c>
      <c r="F72" s="177" t="s">
        <v>60</v>
      </c>
      <c r="G72" s="177" t="s">
        <v>71</v>
      </c>
      <c r="H72" s="179">
        <v>480</v>
      </c>
      <c r="I72" s="179">
        <v>12000</v>
      </c>
      <c r="J72" s="180">
        <f>IFERROR(INDEX(Products!$E$4:$E$500,MATCH(tblLines[[#This Row],[Description (Product)]],Products!$B$4:$B$500,0)),"")</f>
        <v>25</v>
      </c>
      <c r="K72" s="181">
        <f>IF(OR(tblLines[[#This Row],[Description (Product)]]="",tblLines[[#This Row],[Rate 40Kg]]=""),"",tblLines[[#This Row],[Rate 40Kg]]/40*tblLines[[#This Row],[Pack Wt (KG)]])</f>
        <v>7500</v>
      </c>
      <c r="L72" s="182">
        <f>IF(OR(tblLines[[#This Row],[Rate / Pack]]="",tblLines[[#This Row],[Qty (Packs)]]=""),"",ROUND(tblLines[[#This Row],[Rate / Pack]]*tblLines[[#This Row],[Qty (Packs)]],0))</f>
        <v>3600000</v>
      </c>
      <c r="M72" s="183">
        <f>IF(tblLines[[#This Row],[Amount]]="","",tblLines[[#This Row],[Amount]]*IFERROR(INDEX(Products!$I$4:$I$500,MATCH(tblLines[[#This Row],[Description (Product)]],Products!$B$4:$B$500,0)),frmCommRate))</f>
        <v>12600</v>
      </c>
      <c r="N72" s="179">
        <f>IF(tblLines[[#This Row],[Qty (Packs)]]="","",tblLines[[#This Row],[Qty (Packs)]]*tblLines[[#This Row],[Pack Wt (KG)]])</f>
        <v>12000</v>
      </c>
      <c r="O72" s="168"/>
      <c r="P72" s="168"/>
      <c r="Q72" s="168"/>
      <c r="R72" s="168"/>
    </row>
    <row r="73" ht="19.95" customHeight="1" spans="1:18" x14ac:dyDescent="0.25">
      <c r="A73" s="177">
        <v>107</v>
      </c>
      <c r="B73" s="178">
        <v>46274</v>
      </c>
      <c r="C73" s="177" t="s">
        <v>130</v>
      </c>
      <c r="D73" s="177"/>
      <c r="E73" s="177" t="s">
        <v>131</v>
      </c>
      <c r="F73" s="177" t="s">
        <v>60</v>
      </c>
      <c r="G73" s="177" t="s">
        <v>78</v>
      </c>
      <c r="H73" s="179">
        <v>50</v>
      </c>
      <c r="I73" s="179">
        <v>12500</v>
      </c>
      <c r="J73" s="180">
        <f>IFERROR(INDEX(Products!$E$4:$E$500,MATCH(tblLines[[#This Row],[Description (Product)]],Products!$B$4:$B$500,0)),"")</f>
        <v>25</v>
      </c>
      <c r="K73" s="181">
        <f>IF(OR(tblLines[[#This Row],[Description (Product)]]="",tblLines[[#This Row],[Rate 40Kg]]=""),"",tblLines[[#This Row],[Rate 40Kg]]/40*tblLines[[#This Row],[Pack Wt (KG)]])</f>
        <v>7812.5</v>
      </c>
      <c r="L73" s="182">
        <f>IF(OR(tblLines[[#This Row],[Rate / Pack]]="",tblLines[[#This Row],[Qty (Packs)]]=""),"",ROUND(tblLines[[#This Row],[Rate / Pack]]*tblLines[[#This Row],[Qty (Packs)]],0))</f>
        <v>390625</v>
      </c>
      <c r="M73" s="183">
        <f>IF(tblLines[[#This Row],[Amount]]="","",tblLines[[#This Row],[Amount]]*IFERROR(INDEX(Products!$I$4:$I$500,MATCH(tblLines[[#This Row],[Description (Product)]],Products!$B$4:$B$500,0)),frmCommRate))</f>
        <v>1367.1875</v>
      </c>
      <c r="N73" s="179">
        <f>IF(tblLines[[#This Row],[Qty (Packs)]]="","",tblLines[[#This Row],[Qty (Packs)]]*tblLines[[#This Row],[Pack Wt (KG)]])</f>
        <v>1250</v>
      </c>
      <c r="O73" s="168"/>
      <c r="P73" s="168"/>
      <c r="Q73" s="168"/>
      <c r="R73" s="168"/>
    </row>
    <row r="74" ht="19.95" customHeight="1" spans="1:18" x14ac:dyDescent="0.25">
      <c r="A74" s="177">
        <v>107</v>
      </c>
      <c r="B74" s="178">
        <v>46274</v>
      </c>
      <c r="C74" s="177" t="s">
        <v>130</v>
      </c>
      <c r="D74" s="177"/>
      <c r="E74" s="177" t="s">
        <v>131</v>
      </c>
      <c r="F74" s="177" t="s">
        <v>60</v>
      </c>
      <c r="G74" s="177" t="s">
        <v>76</v>
      </c>
      <c r="H74" s="179">
        <v>100</v>
      </c>
      <c r="I74" s="179">
        <v>5900</v>
      </c>
      <c r="J74" s="180">
        <f>IFERROR(INDEX(Products!$E$4:$E$500,MATCH(tblLines[[#This Row],[Description (Product)]],Products!$B$4:$B$500,0)),"")</f>
        <v>25</v>
      </c>
      <c r="K74" s="181">
        <f>IF(OR(tblLines[[#This Row],[Description (Product)]]="",tblLines[[#This Row],[Rate 40Kg]]=""),"",tblLines[[#This Row],[Rate 40Kg]]/40*tblLines[[#This Row],[Pack Wt (KG)]])</f>
        <v>3687.5</v>
      </c>
      <c r="L74" s="182">
        <f>IF(OR(tblLines[[#This Row],[Rate / Pack]]="",tblLines[[#This Row],[Qty (Packs)]]=""),"",ROUND(tblLines[[#This Row],[Rate / Pack]]*tblLines[[#This Row],[Qty (Packs)]],0))</f>
        <v>368750</v>
      </c>
      <c r="M74" s="183">
        <f>IF(tblLines[[#This Row],[Amount]]="","",tblLines[[#This Row],[Amount]]*IFERROR(INDEX(Products!$I$4:$I$500,MATCH(tblLines[[#This Row],[Description (Product)]],Products!$B$4:$B$500,0)),frmCommRate))</f>
        <v>1290.625</v>
      </c>
      <c r="N74" s="179">
        <f>IF(tblLines[[#This Row],[Qty (Packs)]]="","",tblLines[[#This Row],[Qty (Packs)]]*tblLines[[#This Row],[Pack Wt (KG)]])</f>
        <v>2500</v>
      </c>
      <c r="O74" s="168"/>
      <c r="P74" s="168"/>
      <c r="Q74" s="168"/>
      <c r="R74" s="168"/>
    </row>
    <row r="75" ht="19.95" customHeight="1" spans="1:18" x14ac:dyDescent="0.25">
      <c r="A75" s="177">
        <v>107</v>
      </c>
      <c r="B75" s="178">
        <v>46274</v>
      </c>
      <c r="C75" s="177" t="s">
        <v>130</v>
      </c>
      <c r="D75" s="177"/>
      <c r="E75" s="177" t="s">
        <v>131</v>
      </c>
      <c r="F75" s="177" t="s">
        <v>60</v>
      </c>
      <c r="G75" s="177" t="s">
        <v>82</v>
      </c>
      <c r="H75" s="179">
        <v>340</v>
      </c>
      <c r="I75" s="179">
        <v>13300</v>
      </c>
      <c r="J75" s="180">
        <f>IFERROR(INDEX(Products!$E$4:$E$500,MATCH(tblLines[[#This Row],[Description (Product)]],Products!$B$4:$B$500,0)),"")</f>
        <v>25</v>
      </c>
      <c r="K75" s="181">
        <f>IF(OR(tblLines[[#This Row],[Description (Product)]]="",tblLines[[#This Row],[Rate 40Kg]]=""),"",tblLines[[#This Row],[Rate 40Kg]]/40*tblLines[[#This Row],[Pack Wt (KG)]])</f>
        <v>8312.5</v>
      </c>
      <c r="L75" s="182">
        <f>IF(OR(tblLines[[#This Row],[Rate / Pack]]="",tblLines[[#This Row],[Qty (Packs)]]=""),"",ROUND(tblLines[[#This Row],[Rate / Pack]]*tblLines[[#This Row],[Qty (Packs)]],0))</f>
        <v>2826250</v>
      </c>
      <c r="M75" s="183">
        <f>IF(tblLines[[#This Row],[Amount]]="","",tblLines[[#This Row],[Amount]]*IFERROR(INDEX(Products!$I$4:$I$500,MATCH(tblLines[[#This Row],[Description (Product)]],Products!$B$4:$B$500,0)),frmCommRate))</f>
        <v>9891.875</v>
      </c>
      <c r="N75" s="179">
        <f>IF(tblLines[[#This Row],[Qty (Packs)]]="","",tblLines[[#This Row],[Qty (Packs)]]*tblLines[[#This Row],[Pack Wt (KG)]])</f>
        <v>8500</v>
      </c>
      <c r="O75" s="168"/>
      <c r="P75" s="168"/>
      <c r="Q75" s="168"/>
      <c r="R75" s="168"/>
    </row>
    <row r="76" ht="19.95" customHeight="1" spans="1:18" x14ac:dyDescent="0.25">
      <c r="A76" s="177">
        <v>107</v>
      </c>
      <c r="B76" s="178">
        <v>46274</v>
      </c>
      <c r="C76" s="177" t="s">
        <v>130</v>
      </c>
      <c r="D76" s="177"/>
      <c r="E76" s="177" t="s">
        <v>131</v>
      </c>
      <c r="F76" s="177" t="s">
        <v>60</v>
      </c>
      <c r="G76" s="177" t="s">
        <v>88</v>
      </c>
      <c r="H76" s="179">
        <v>50</v>
      </c>
      <c r="I76" s="179">
        <v>10600</v>
      </c>
      <c r="J76" s="180">
        <f>IFERROR(INDEX(Products!$E$4:$E$500,MATCH(tblLines[[#This Row],[Description (Product)]],Products!$B$4:$B$500,0)),"")</f>
        <v>25</v>
      </c>
      <c r="K76" s="181">
        <f>IF(OR(tblLines[[#This Row],[Description (Product)]]="",tblLines[[#This Row],[Rate 40Kg]]=""),"",tblLines[[#This Row],[Rate 40Kg]]/40*tblLines[[#This Row],[Pack Wt (KG)]])</f>
        <v>6625</v>
      </c>
      <c r="L76" s="182">
        <f>IF(OR(tblLines[[#This Row],[Rate / Pack]]="",tblLines[[#This Row],[Qty (Packs)]]=""),"",ROUND(tblLines[[#This Row],[Rate / Pack]]*tblLines[[#This Row],[Qty (Packs)]],0))</f>
        <v>331250</v>
      </c>
      <c r="M76" s="183">
        <f>IF(tblLines[[#This Row],[Amount]]="","",tblLines[[#This Row],[Amount]]*IFERROR(INDEX(Products!$I$4:$I$500,MATCH(tblLines[[#This Row],[Description (Product)]],Products!$B$4:$B$500,0)),frmCommRate))</f>
        <v>1159.375</v>
      </c>
      <c r="N76" s="179">
        <f>IF(tblLines[[#This Row],[Qty (Packs)]]="","",tblLines[[#This Row],[Qty (Packs)]]*tblLines[[#This Row],[Pack Wt (KG)]])</f>
        <v>1250</v>
      </c>
      <c r="O76" s="168"/>
      <c r="P76" s="168"/>
      <c r="Q76" s="168"/>
      <c r="R76" s="168"/>
    </row>
    <row r="77" ht="19.95" customHeight="1" spans="1:18" x14ac:dyDescent="0.25">
      <c r="A77" s="177">
        <v>107</v>
      </c>
      <c r="B77" s="178">
        <v>46274</v>
      </c>
      <c r="C77" s="177" t="s">
        <v>130</v>
      </c>
      <c r="D77" s="177"/>
      <c r="E77" s="177" t="s">
        <v>131</v>
      </c>
      <c r="F77" s="177" t="s">
        <v>60</v>
      </c>
      <c r="G77" s="177" t="s">
        <v>84</v>
      </c>
      <c r="H77" s="179">
        <v>50</v>
      </c>
      <c r="I77" s="179">
        <v>9900</v>
      </c>
      <c r="J77" s="180">
        <f>IFERROR(INDEX(Products!$E$4:$E$500,MATCH(tblLines[[#This Row],[Description (Product)]],Products!$B$4:$B$500,0)),"")</f>
        <v>25</v>
      </c>
      <c r="K77" s="181">
        <f>IF(OR(tblLines[[#This Row],[Description (Product)]]="",tblLines[[#This Row],[Rate 40Kg]]=""),"",tblLines[[#This Row],[Rate 40Kg]]/40*tblLines[[#This Row],[Pack Wt (KG)]])</f>
        <v>6187.5</v>
      </c>
      <c r="L77" s="182">
        <f>IF(OR(tblLines[[#This Row],[Rate / Pack]]="",tblLines[[#This Row],[Qty (Packs)]]=""),"",ROUND(tblLines[[#This Row],[Rate / Pack]]*tblLines[[#This Row],[Qty (Packs)]],0))</f>
        <v>309375</v>
      </c>
      <c r="M77" s="183">
        <f>IF(tblLines[[#This Row],[Amount]]="","",tblLines[[#This Row],[Amount]]*IFERROR(INDEX(Products!$I$4:$I$500,MATCH(tblLines[[#This Row],[Description (Product)]],Products!$B$4:$B$500,0)),frmCommRate))</f>
        <v>1082.8125</v>
      </c>
      <c r="N77" s="179">
        <f>IF(tblLines[[#This Row],[Qty (Packs)]]="","",tblLines[[#This Row],[Qty (Packs)]]*tblLines[[#This Row],[Pack Wt (KG)]])</f>
        <v>1250</v>
      </c>
      <c r="O77" s="168"/>
      <c r="P77" s="168"/>
      <c r="Q77" s="168"/>
      <c r="R77" s="168"/>
    </row>
    <row r="78" ht="15" customHeight="1" spans="1:18" x14ac:dyDescent="0.25">
      <c r="A78" s="187">
        <v>107</v>
      </c>
      <c r="B78" s="188">
        <v>46274</v>
      </c>
      <c r="C78" s="187" t="s">
        <v>130</v>
      </c>
      <c r="D78" s="187"/>
      <c r="E78" s="187" t="s">
        <v>131</v>
      </c>
      <c r="F78" s="187" t="s">
        <v>60</v>
      </c>
      <c r="G78" s="187" t="s">
        <v>72</v>
      </c>
      <c r="H78" s="189">
        <v>50</v>
      </c>
      <c r="I78" s="189">
        <v>12150</v>
      </c>
      <c r="J78" s="190">
        <f>IFERROR(INDEX(Products!$E$4:$E$500,MATCH(tblLines[[#This Row],[Description (Product)]],Products!$B$4:$B$500,0)),"")</f>
        <v>25</v>
      </c>
      <c r="K78" s="191">
        <f>IF(OR(tblLines[[#This Row],[Description (Product)]]="",tblLines[[#This Row],[Rate 40Kg]]=""),"",tblLines[[#This Row],[Rate 40Kg]]/40*tblLines[[#This Row],[Pack Wt (KG)]])</f>
        <v>7593.75</v>
      </c>
      <c r="L78" s="192">
        <f>IF(OR(tblLines[[#This Row],[Rate / Pack]]="",tblLines[[#This Row],[Qty (Packs)]]=""),"",ROUND(tblLines[[#This Row],[Rate / Pack]]*tblLines[[#This Row],[Qty (Packs)]],0))</f>
        <v>379688</v>
      </c>
      <c r="M78" s="193">
        <f>IF(tblLines[[#This Row],[Amount]]="","",tblLines[[#This Row],[Amount]]*IFERROR(INDEX(Products!$I$4:$I$500,MATCH(tblLines[[#This Row],[Description (Product)]],Products!$B$4:$B$500,0)),frmCommRate))</f>
        <v>1328.9080000000001</v>
      </c>
      <c r="N78" s="189">
        <f>IF(tblLines[[#This Row],[Qty (Packs)]]="","",tblLines[[#This Row],[Qty (Packs)]]*tblLines[[#This Row],[Pack Wt (KG)]])</f>
        <v>1250</v>
      </c>
      <c r="O78" s="168"/>
      <c r="P78" s="168"/>
      <c r="Q78" s="168"/>
      <c r="R78" s="168"/>
    </row>
    <row r="79" ht="15" customHeight="1" spans="1:18" x14ac:dyDescent="0.25">
      <c r="A79" s="187">
        <v>110</v>
      </c>
      <c r="B79" s="188">
        <v>46274</v>
      </c>
      <c r="C79" s="187" t="s">
        <v>132</v>
      </c>
      <c r="D79" s="187"/>
      <c r="E79" s="187" t="s">
        <v>133</v>
      </c>
      <c r="F79" s="187" t="s">
        <v>60</v>
      </c>
      <c r="G79" s="187" t="s">
        <v>76</v>
      </c>
      <c r="H79" s="189">
        <v>75</v>
      </c>
      <c r="I79" s="189">
        <v>6050</v>
      </c>
      <c r="J79" s="190">
        <f>IFERROR(INDEX(Products!$E$4:$E$500,MATCH(tblLines[[#This Row],[Description (Product)]],Products!$B$4:$B$500,0)),"")</f>
        <v>25</v>
      </c>
      <c r="K79" s="191">
        <f>IF(OR(tblLines[[#This Row],[Description (Product)]]="",tblLines[[#This Row],[Rate 40Kg]]=""),"",tblLines[[#This Row],[Rate 40Kg]]/40*tblLines[[#This Row],[Pack Wt (KG)]])</f>
        <v>3781.25</v>
      </c>
      <c r="L79" s="192">
        <f>IF(OR(tblLines[[#This Row],[Rate / Pack]]="",tblLines[[#This Row],[Qty (Packs)]]=""),"",ROUND(tblLines[[#This Row],[Rate / Pack]]*tblLines[[#This Row],[Qty (Packs)]],0))</f>
        <v>283594</v>
      </c>
      <c r="M79" s="193">
        <f>IF(tblLines[[#This Row],[Amount]]="","",tblLines[[#This Row],[Amount]]*IFERROR(INDEX(Products!$I$4:$I$500,MATCH(tblLines[[#This Row],[Description (Product)]],Products!$B$4:$B$500,0)),frmCommRate))</f>
        <v>992.5790000000001</v>
      </c>
      <c r="N79" s="189">
        <f>IF(tblLines[[#This Row],[Qty (Packs)]]="","",tblLines[[#This Row],[Qty (Packs)]]*tblLines[[#This Row],[Pack Wt (KG)]])</f>
        <v>1875</v>
      </c>
      <c r="O79" s="168"/>
      <c r="P79" s="168"/>
      <c r="Q79" s="168"/>
      <c r="R79" s="168"/>
    </row>
    <row r="80" ht="15" customHeight="1" spans="1:18" x14ac:dyDescent="0.25">
      <c r="A80" s="187">
        <v>110</v>
      </c>
      <c r="B80" s="188">
        <v>46274</v>
      </c>
      <c r="C80" s="187" t="s">
        <v>132</v>
      </c>
      <c r="D80" s="187"/>
      <c r="E80" s="187" t="s">
        <v>133</v>
      </c>
      <c r="F80" s="187" t="s">
        <v>60</v>
      </c>
      <c r="G80" s="187" t="s">
        <v>75</v>
      </c>
      <c r="H80" s="189">
        <v>25</v>
      </c>
      <c r="I80" s="189">
        <v>8350</v>
      </c>
      <c r="J80" s="190">
        <f>IFERROR(INDEX(Products!$E$4:$E$500,MATCH(tblLines[[#This Row],[Description (Product)]],Products!$B$4:$B$500,0)),"")</f>
        <v>40</v>
      </c>
      <c r="K80" s="191">
        <f>IF(OR(tblLines[[#This Row],[Description (Product)]]="",tblLines[[#This Row],[Rate 40Kg]]=""),"",tblLines[[#This Row],[Rate 40Kg]]/40*tblLines[[#This Row],[Pack Wt (KG)]])</f>
        <v>8350</v>
      </c>
      <c r="L80" s="192">
        <f>IF(OR(tblLines[[#This Row],[Rate / Pack]]="",tblLines[[#This Row],[Qty (Packs)]]=""),"",ROUND(tblLines[[#This Row],[Rate / Pack]]*tblLines[[#This Row],[Qty (Packs)]],0))</f>
        <v>208750</v>
      </c>
      <c r="M80" s="193">
        <f>IF(tblLines[[#This Row],[Amount]]="","",tblLines[[#This Row],[Amount]]*IFERROR(INDEX(Products!$I$4:$I$500,MATCH(tblLines[[#This Row],[Description (Product)]],Products!$B$4:$B$500,0)),frmCommRate))</f>
        <v>730.625</v>
      </c>
      <c r="N80" s="189">
        <f>IF(tblLines[[#This Row],[Qty (Packs)]]="","",tblLines[[#This Row],[Qty (Packs)]]*tblLines[[#This Row],[Pack Wt (KG)]])</f>
        <v>1000</v>
      </c>
      <c r="O80" s="168"/>
      <c r="P80" s="168"/>
      <c r="Q80" s="168"/>
      <c r="R80" s="168"/>
    </row>
    <row r="81" ht="15" customHeight="1" spans="1:18" x14ac:dyDescent="0.25">
      <c r="A81" s="187">
        <v>110</v>
      </c>
      <c r="B81" s="188">
        <v>46274</v>
      </c>
      <c r="C81" s="187" t="s">
        <v>132</v>
      </c>
      <c r="D81" s="187"/>
      <c r="E81" s="187" t="s">
        <v>133</v>
      </c>
      <c r="F81" s="187" t="s">
        <v>60</v>
      </c>
      <c r="G81" s="187" t="s">
        <v>74</v>
      </c>
      <c r="H81" s="189">
        <v>125</v>
      </c>
      <c r="I81" s="189">
        <v>7850</v>
      </c>
      <c r="J81" s="190">
        <f>IFERROR(INDEX(Products!$E$4:$E$500,MATCH(tblLines[[#This Row],[Description (Product)]],Products!$B$4:$B$500,0)),"")</f>
        <v>25</v>
      </c>
      <c r="K81" s="191">
        <f>IF(OR(tblLines[[#This Row],[Description (Product)]]="",tblLines[[#This Row],[Rate 40Kg]]=""),"",tblLines[[#This Row],[Rate 40Kg]]/40*tblLines[[#This Row],[Pack Wt (KG)]])</f>
        <v>4906.25</v>
      </c>
      <c r="L81" s="192">
        <f>IF(OR(tblLines[[#This Row],[Rate / Pack]]="",tblLines[[#This Row],[Qty (Packs)]]=""),"",ROUND(tblLines[[#This Row],[Rate / Pack]]*tblLines[[#This Row],[Qty (Packs)]],0))</f>
        <v>613281</v>
      </c>
      <c r="M81" s="193">
        <f>IF(tblLines[[#This Row],[Amount]]="","",tblLines[[#This Row],[Amount]]*IFERROR(INDEX(Products!$I$4:$I$500,MATCH(tblLines[[#This Row],[Description (Product)]],Products!$B$4:$B$500,0)),frmCommRate))</f>
        <v>2146.4835</v>
      </c>
      <c r="N81" s="189">
        <f>IF(tblLines[[#This Row],[Qty (Packs)]]="","",tblLines[[#This Row],[Qty (Packs)]]*tblLines[[#This Row],[Pack Wt (KG)]])</f>
        <v>3125</v>
      </c>
      <c r="O81" s="168"/>
      <c r="P81" s="168"/>
      <c r="Q81" s="168"/>
      <c r="R81" s="168"/>
    </row>
    <row r="82" ht="16.8" customHeight="1" spans="1:18" x14ac:dyDescent="0.25">
      <c r="A82" s="187">
        <v>110</v>
      </c>
      <c r="B82" s="188">
        <v>46274</v>
      </c>
      <c r="C82" s="187" t="s">
        <v>132</v>
      </c>
      <c r="D82" s="187"/>
      <c r="E82" s="187" t="s">
        <v>133</v>
      </c>
      <c r="F82" s="187" t="s">
        <v>60</v>
      </c>
      <c r="G82" s="187" t="s">
        <v>81</v>
      </c>
      <c r="H82" s="189">
        <v>100</v>
      </c>
      <c r="I82" s="189">
        <v>13600</v>
      </c>
      <c r="J82" s="190">
        <f>IFERROR(INDEX(Products!$E$4:$E$500,MATCH(tblLines[[#This Row],[Description (Product)]],Products!$B$4:$B$500,0)),"")</f>
        <v>20</v>
      </c>
      <c r="K82" s="191">
        <f>IF(OR(tblLines[[#This Row],[Description (Product)]]="",tblLines[[#This Row],[Rate 40Kg]]=""),"",tblLines[[#This Row],[Rate 40Kg]]/40*tblLines[[#This Row],[Pack Wt (KG)]])</f>
        <v>6800</v>
      </c>
      <c r="L82" s="192">
        <f>IF(OR(tblLines[[#This Row],[Rate / Pack]]="",tblLines[[#This Row],[Qty (Packs)]]=""),"",ROUND(tblLines[[#This Row],[Rate / Pack]]*tblLines[[#This Row],[Qty (Packs)]],0))</f>
        <v>680000</v>
      </c>
      <c r="M82" s="193">
        <f>IF(tblLines[[#This Row],[Amount]]="","",tblLines[[#This Row],[Amount]]*IFERROR(INDEX(Products!$I$4:$I$500,MATCH(tblLines[[#This Row],[Description (Product)]],Products!$B$4:$B$500,0)),frmCommRate))</f>
        <v>2380</v>
      </c>
      <c r="N82" s="189">
        <f>IF(tblLines[[#This Row],[Qty (Packs)]]="","",tblLines[[#This Row],[Qty (Packs)]]*tblLines[[#This Row],[Pack Wt (KG)]])</f>
        <v>2000</v>
      </c>
      <c r="O82" s="194"/>
      <c r="P82" s="194"/>
      <c r="Q82" s="194"/>
      <c r="R82" s="194"/>
    </row>
    <row r="83" ht="16.8" customHeight="1" spans="1:18" x14ac:dyDescent="0.25">
      <c r="A83" s="187">
        <v>110</v>
      </c>
      <c r="B83" s="188">
        <v>46274</v>
      </c>
      <c r="C83" s="187" t="s">
        <v>132</v>
      </c>
      <c r="D83" s="187"/>
      <c r="E83" s="187" t="s">
        <v>133</v>
      </c>
      <c r="F83" s="187" t="s">
        <v>60</v>
      </c>
      <c r="G83" s="187" t="s">
        <v>83</v>
      </c>
      <c r="H83" s="189">
        <v>20</v>
      </c>
      <c r="I83" s="189">
        <v>14000</v>
      </c>
      <c r="J83" s="190">
        <f>IFERROR(INDEX(Products!$E$4:$E$500,MATCH(tblLines[[#This Row],[Description (Product)]],Products!$B$4:$B$500,0)),"")</f>
        <v>40</v>
      </c>
      <c r="K83" s="191">
        <f>IF(OR(tblLines[[#This Row],[Description (Product)]]="",tblLines[[#This Row],[Rate 40Kg]]=""),"",tblLines[[#This Row],[Rate 40Kg]]/40*tblLines[[#This Row],[Pack Wt (KG)]])</f>
        <v>14000</v>
      </c>
      <c r="L83" s="192">
        <f>IF(OR(tblLines[[#This Row],[Rate / Pack]]="",tblLines[[#This Row],[Qty (Packs)]]=""),"",ROUND(tblLines[[#This Row],[Rate / Pack]]*tblLines[[#This Row],[Qty (Packs)]],0))</f>
        <v>280000</v>
      </c>
      <c r="M83" s="193">
        <f>IF(tblLines[[#This Row],[Amount]]="","",tblLines[[#This Row],[Amount]]*IFERROR(INDEX(Products!$I$4:$I$500,MATCH(tblLines[[#This Row],[Description (Product)]],Products!$B$4:$B$500,0)),frmCommRate))</f>
        <v>980</v>
      </c>
      <c r="N83" s="189">
        <f>IF(tblLines[[#This Row],[Qty (Packs)]]="","",tblLines[[#This Row],[Qty (Packs)]]*tblLines[[#This Row],[Pack Wt (KG)]])</f>
        <v>800</v>
      </c>
      <c r="O83" s="194"/>
      <c r="P83" s="194"/>
      <c r="Q83" s="194"/>
      <c r="R83" s="194"/>
    </row>
    <row r="84" ht="16.8" customHeight="1" spans="1:18" x14ac:dyDescent="0.25">
      <c r="A84" s="187">
        <v>110</v>
      </c>
      <c r="B84" s="188">
        <v>46274</v>
      </c>
      <c r="C84" s="187" t="s">
        <v>132</v>
      </c>
      <c r="D84" s="187"/>
      <c r="E84" s="187" t="s">
        <v>133</v>
      </c>
      <c r="F84" s="187" t="s">
        <v>60</v>
      </c>
      <c r="G84" s="187" t="s">
        <v>72</v>
      </c>
      <c r="H84" s="189">
        <v>320</v>
      </c>
      <c r="I84" s="189">
        <v>12350</v>
      </c>
      <c r="J84" s="190">
        <f>IFERROR(INDEX(Products!$E$4:$E$500,MATCH(tblLines[[#This Row],[Description (Product)]],Products!$B$4:$B$500,0)),"")</f>
        <v>25</v>
      </c>
      <c r="K84" s="191">
        <f>IF(OR(tblLines[[#This Row],[Description (Product)]]="",tblLines[[#This Row],[Rate 40Kg]]=""),"",tblLines[[#This Row],[Rate 40Kg]]/40*tblLines[[#This Row],[Pack Wt (KG)]])</f>
        <v>7718.75</v>
      </c>
      <c r="L84" s="192">
        <f>IF(OR(tblLines[[#This Row],[Rate / Pack]]="",tblLines[[#This Row],[Qty (Packs)]]=""),"",ROUND(tblLines[[#This Row],[Rate / Pack]]*tblLines[[#This Row],[Qty (Packs)]],0))</f>
        <v>2470000</v>
      </c>
      <c r="M84" s="193">
        <f>IF(tblLines[[#This Row],[Amount]]="","",tblLines[[#This Row],[Amount]]*IFERROR(INDEX(Products!$I$4:$I$500,MATCH(tblLines[[#This Row],[Description (Product)]],Products!$B$4:$B$500,0)),frmCommRate))</f>
        <v>8645</v>
      </c>
      <c r="N84" s="189">
        <f>IF(tblLines[[#This Row],[Qty (Packs)]]="","",tblLines[[#This Row],[Qty (Packs)]]*tblLines[[#This Row],[Pack Wt (KG)]])</f>
        <v>8000</v>
      </c>
      <c r="O84" s="194"/>
      <c r="P84" s="194"/>
      <c r="Q84" s="194"/>
      <c r="R84" s="194"/>
    </row>
    <row r="85" ht="16.8" customHeight="1" spans="1:18" x14ac:dyDescent="0.25">
      <c r="A85" s="187">
        <v>110</v>
      </c>
      <c r="B85" s="188">
        <v>46274</v>
      </c>
      <c r="C85" s="187" t="s">
        <v>132</v>
      </c>
      <c r="D85" s="187"/>
      <c r="E85" s="187" t="s">
        <v>133</v>
      </c>
      <c r="F85" s="187" t="s">
        <v>60</v>
      </c>
      <c r="G85" s="187" t="s">
        <v>73</v>
      </c>
      <c r="H85" s="189">
        <v>25</v>
      </c>
      <c r="I85" s="189">
        <v>12850</v>
      </c>
      <c r="J85" s="190">
        <f>IFERROR(INDEX(Products!$E$4:$E$500,MATCH(tblLines[[#This Row],[Description (Product)]],Products!$B$4:$B$500,0)),"")</f>
        <v>40</v>
      </c>
      <c r="K85" s="191">
        <f>IF(OR(tblLines[[#This Row],[Description (Product)]]="",tblLines[[#This Row],[Rate 40Kg]]=""),"",tblLines[[#This Row],[Rate 40Kg]]/40*tblLines[[#This Row],[Pack Wt (KG)]])</f>
        <v>12850</v>
      </c>
      <c r="L85" s="192">
        <f>IF(OR(tblLines[[#This Row],[Rate / Pack]]="",tblLines[[#This Row],[Qty (Packs)]]=""),"",ROUND(tblLines[[#This Row],[Rate / Pack]]*tblLines[[#This Row],[Qty (Packs)]],0))</f>
        <v>321250</v>
      </c>
      <c r="M85" s="193">
        <f>IF(tblLines[[#This Row],[Amount]]="","",tblLines[[#This Row],[Amount]]*IFERROR(INDEX(Products!$I$4:$I$500,MATCH(tblLines[[#This Row],[Description (Product)]],Products!$B$4:$B$500,0)),frmCommRate))</f>
        <v>1124.375</v>
      </c>
      <c r="N85" s="189">
        <f>IF(tblLines[[#This Row],[Qty (Packs)]]="","",tblLines[[#This Row],[Qty (Packs)]]*tblLines[[#This Row],[Pack Wt (KG)]])</f>
        <v>1000</v>
      </c>
      <c r="O85" s="194"/>
      <c r="P85" s="194"/>
      <c r="Q85" s="194"/>
      <c r="R85" s="194"/>
    </row>
    <row r="86" ht="16.8" customHeight="1" spans="1:18" x14ac:dyDescent="0.25">
      <c r="A86" s="187">
        <v>110</v>
      </c>
      <c r="B86" s="188">
        <v>46274</v>
      </c>
      <c r="C86" s="187" t="s">
        <v>132</v>
      </c>
      <c r="D86" s="187"/>
      <c r="E86" s="187" t="s">
        <v>133</v>
      </c>
      <c r="F86" s="187" t="s">
        <v>60</v>
      </c>
      <c r="G86" s="187" t="s">
        <v>79</v>
      </c>
      <c r="H86" s="189">
        <v>25</v>
      </c>
      <c r="I86" s="189">
        <v>12650</v>
      </c>
      <c r="J86" s="190">
        <f>IFERROR(INDEX(Products!$E$4:$E$500,MATCH(tblLines[[#This Row],[Description (Product)]],Products!$B$4:$B$500,0)),"")</f>
        <v>40</v>
      </c>
      <c r="K86" s="191">
        <f>IF(OR(tblLines[[#This Row],[Description (Product)]]="",tblLines[[#This Row],[Rate 40Kg]]=""),"",tblLines[[#This Row],[Rate 40Kg]]/40*tblLines[[#This Row],[Pack Wt (KG)]])</f>
        <v>12650</v>
      </c>
      <c r="L86" s="192">
        <f>IF(OR(tblLines[[#This Row],[Rate / Pack]]="",tblLines[[#This Row],[Qty (Packs)]]=""),"",ROUND(tblLines[[#This Row],[Rate / Pack]]*tblLines[[#This Row],[Qty (Packs)]],0))</f>
        <v>316250</v>
      </c>
      <c r="M86" s="193">
        <f>IF(tblLines[[#This Row],[Amount]]="","",tblLines[[#This Row],[Amount]]*IFERROR(INDEX(Products!$I$4:$I$500,MATCH(tblLines[[#This Row],[Description (Product)]],Products!$B$4:$B$500,0)),frmCommRate))</f>
        <v>1106.875</v>
      </c>
      <c r="N86" s="189">
        <f>IF(tblLines[[#This Row],[Qty (Packs)]]="","",tblLines[[#This Row],[Qty (Packs)]]*tblLines[[#This Row],[Pack Wt (KG)]])</f>
        <v>1000</v>
      </c>
      <c r="O86" s="194"/>
      <c r="P86" s="194"/>
      <c r="Q86" s="194"/>
      <c r="R86" s="194"/>
    </row>
    <row r="87" ht="16.8" customHeight="1" spans="1:18" x14ac:dyDescent="0.25">
      <c r="A87" s="187">
        <v>111</v>
      </c>
      <c r="B87" s="188">
        <v>46274</v>
      </c>
      <c r="C87" s="187" t="s">
        <v>134</v>
      </c>
      <c r="D87" s="187"/>
      <c r="E87" s="187" t="s">
        <v>135</v>
      </c>
      <c r="F87" s="187" t="s">
        <v>60</v>
      </c>
      <c r="G87" s="187" t="s">
        <v>70</v>
      </c>
      <c r="H87" s="189">
        <v>40</v>
      </c>
      <c r="I87" s="189">
        <v>10301</v>
      </c>
      <c r="J87" s="190">
        <f>IFERROR(INDEX(Products!$E$4:$E$500,MATCH(tblLines[[#This Row],[Description (Product)]],Products!$B$4:$B$500,0)),"")</f>
        <v>25</v>
      </c>
      <c r="K87" s="191">
        <f>IF(OR(tblLines[[#This Row],[Description (Product)]]="",tblLines[[#This Row],[Rate 40Kg]]=""),"",tblLines[[#This Row],[Rate 40Kg]]/40*tblLines[[#This Row],[Pack Wt (KG)]])</f>
        <v>6438.124999999999</v>
      </c>
      <c r="L87" s="192">
        <f>IF(OR(tblLines[[#This Row],[Rate / Pack]]="",tblLines[[#This Row],[Qty (Packs)]]=""),"",ROUND(tblLines[[#This Row],[Rate / Pack]]*tblLines[[#This Row],[Qty (Packs)]],0))</f>
        <v>257525</v>
      </c>
      <c r="M87" s="193">
        <f>IF(tblLines[[#This Row],[Amount]]="","",tblLines[[#This Row],[Amount]]*IFERROR(INDEX(Products!$I$4:$I$500,MATCH(tblLines[[#This Row],[Description (Product)]],Products!$B$4:$B$500,0)),frmCommRate))</f>
        <v>901.3375</v>
      </c>
      <c r="N87" s="189">
        <f>IF(tblLines[[#This Row],[Qty (Packs)]]="","",tblLines[[#This Row],[Qty (Packs)]]*tblLines[[#This Row],[Pack Wt (KG)]])</f>
        <v>1000</v>
      </c>
      <c r="O87" s="194"/>
      <c r="P87" s="194"/>
      <c r="Q87" s="194"/>
      <c r="R87" s="194"/>
    </row>
    <row r="88" ht="16.8" customHeight="1" spans="1:18" x14ac:dyDescent="0.25">
      <c r="A88" s="187">
        <v>111</v>
      </c>
      <c r="B88" s="188">
        <v>46274</v>
      </c>
      <c r="C88" s="187" t="s">
        <v>134</v>
      </c>
      <c r="D88" s="187"/>
      <c r="E88" s="187" t="s">
        <v>135</v>
      </c>
      <c r="F88" s="187" t="s">
        <v>60</v>
      </c>
      <c r="G88" s="187" t="s">
        <v>27</v>
      </c>
      <c r="H88" s="189">
        <v>40</v>
      </c>
      <c r="I88" s="189">
        <v>8150</v>
      </c>
      <c r="J88" s="190">
        <f>IFERROR(INDEX(Products!$E$4:$E$500,MATCH(tblLines[[#This Row],[Description (Product)]],Products!$B$4:$B$500,0)),"")</f>
        <v>25</v>
      </c>
      <c r="K88" s="191">
        <f>IF(OR(tblLines[[#This Row],[Description (Product)]]="",tblLines[[#This Row],[Rate 40Kg]]=""),"",tblLines[[#This Row],[Rate 40Kg]]/40*tblLines[[#This Row],[Pack Wt (KG)]])</f>
        <v>5093.75</v>
      </c>
      <c r="L88" s="192">
        <f>IF(OR(tblLines[[#This Row],[Rate / Pack]]="",tblLines[[#This Row],[Qty (Packs)]]=""),"",ROUND(tblLines[[#This Row],[Rate / Pack]]*tblLines[[#This Row],[Qty (Packs)]],0))</f>
        <v>203750</v>
      </c>
      <c r="M88" s="193">
        <f>IF(tblLines[[#This Row],[Amount]]="","",tblLines[[#This Row],[Amount]]*IFERROR(INDEX(Products!$I$4:$I$500,MATCH(tblLines[[#This Row],[Description (Product)]],Products!$B$4:$B$500,0)),frmCommRate))</f>
        <v>713.125</v>
      </c>
      <c r="N88" s="189">
        <f>IF(tblLines[[#This Row],[Qty (Packs)]]="","",tblLines[[#This Row],[Qty (Packs)]]*tblLines[[#This Row],[Pack Wt (KG)]])</f>
        <v>1000</v>
      </c>
      <c r="O88" s="194"/>
      <c r="P88" s="194"/>
      <c r="Q88" s="194"/>
      <c r="R88" s="194"/>
    </row>
    <row r="89" ht="16.8" customHeight="1" spans="1:18" x14ac:dyDescent="0.25">
      <c r="A89" s="187">
        <v>111</v>
      </c>
      <c r="B89" s="188">
        <v>46274</v>
      </c>
      <c r="C89" s="187" t="s">
        <v>134</v>
      </c>
      <c r="D89" s="187"/>
      <c r="E89" s="187" t="s">
        <v>135</v>
      </c>
      <c r="F89" s="187" t="s">
        <v>60</v>
      </c>
      <c r="G89" s="187" t="s">
        <v>28</v>
      </c>
      <c r="H89" s="189">
        <v>30</v>
      </c>
      <c r="I89" s="189">
        <v>16301</v>
      </c>
      <c r="J89" s="190">
        <f>IFERROR(INDEX(Products!$E$4:$E$500,MATCH(tblLines[[#This Row],[Description (Product)]],Products!$B$4:$B$500,0)),"")</f>
        <v>25</v>
      </c>
      <c r="K89" s="191">
        <f>IF(OR(tblLines[[#This Row],[Description (Product)]]="",tblLines[[#This Row],[Rate 40Kg]]=""),"",tblLines[[#This Row],[Rate 40Kg]]/40*tblLines[[#This Row],[Pack Wt (KG)]])</f>
        <v>10188.125</v>
      </c>
      <c r="L89" s="192">
        <f>IF(OR(tblLines[[#This Row],[Rate / Pack]]="",tblLines[[#This Row],[Qty (Packs)]]=""),"",ROUND(tblLines[[#This Row],[Rate / Pack]]*tblLines[[#This Row],[Qty (Packs)]],0))</f>
        <v>305644</v>
      </c>
      <c r="M89" s="193">
        <f>IF(tblLines[[#This Row],[Amount]]="","",tblLines[[#This Row],[Amount]]*IFERROR(INDEX(Products!$I$4:$I$500,MATCH(tblLines[[#This Row],[Description (Product)]],Products!$B$4:$B$500,0)),frmCommRate))</f>
        <v>1069.7540000000001</v>
      </c>
      <c r="N89" s="189">
        <f>IF(tblLines[[#This Row],[Qty (Packs)]]="","",tblLines[[#This Row],[Qty (Packs)]]*tblLines[[#This Row],[Pack Wt (KG)]])</f>
        <v>750</v>
      </c>
      <c r="O89" s="194"/>
      <c r="P89" s="194"/>
      <c r="Q89" s="194"/>
      <c r="R89" s="194"/>
    </row>
    <row r="90" ht="16.8" customHeight="1" spans="1:18" x14ac:dyDescent="0.25">
      <c r="A90" s="187">
        <v>111</v>
      </c>
      <c r="B90" s="188">
        <v>46274</v>
      </c>
      <c r="C90" s="187" t="s">
        <v>134</v>
      </c>
      <c r="D90" s="187"/>
      <c r="E90" s="187" t="s">
        <v>135</v>
      </c>
      <c r="F90" s="187" t="s">
        <v>60</v>
      </c>
      <c r="G90" s="187" t="s">
        <v>63</v>
      </c>
      <c r="H90" s="189">
        <v>20</v>
      </c>
      <c r="I90" s="189">
        <v>9101</v>
      </c>
      <c r="J90" s="190">
        <f>IFERROR(INDEX(Products!$E$4:$E$500,MATCH(tblLines[[#This Row],[Description (Product)]],Products!$B$4:$B$500,0)),"")</f>
        <v>25</v>
      </c>
      <c r="K90" s="191">
        <f>IF(OR(tblLines[[#This Row],[Description (Product)]]="",tblLines[[#This Row],[Rate 40Kg]]=""),"",tblLines[[#This Row],[Rate 40Kg]]/40*tblLines[[#This Row],[Pack Wt (KG)]])</f>
        <v>5688.125</v>
      </c>
      <c r="L90" s="192">
        <f>IF(OR(tblLines[[#This Row],[Rate / Pack]]="",tblLines[[#This Row],[Qty (Packs)]]=""),"",ROUND(tblLines[[#This Row],[Rate / Pack]]*tblLines[[#This Row],[Qty (Packs)]],0))</f>
        <v>113763</v>
      </c>
      <c r="M90" s="193">
        <f>IF(tblLines[[#This Row],[Amount]]="","",tblLines[[#This Row],[Amount]]*IFERROR(INDEX(Products!$I$4:$I$500,MATCH(tblLines[[#This Row],[Description (Product)]],Products!$B$4:$B$500,0)),frmCommRate))</f>
        <v>398.1705</v>
      </c>
      <c r="N90" s="189">
        <f>IF(tblLines[[#This Row],[Qty (Packs)]]="","",tblLines[[#This Row],[Qty (Packs)]]*tblLines[[#This Row],[Pack Wt (KG)]])</f>
        <v>500</v>
      </c>
      <c r="O90" s="194"/>
      <c r="P90" s="194"/>
      <c r="Q90" s="194"/>
      <c r="R90" s="194"/>
    </row>
    <row r="91" ht="16.8" customHeight="1" spans="1:18" x14ac:dyDescent="0.25">
      <c r="A91" s="187"/>
      <c r="B91" s="188"/>
      <c r="C91" s="187"/>
      <c r="D91" s="187"/>
      <c r="E91" s="187"/>
      <c r="F91" s="187"/>
      <c r="G91" s="187"/>
      <c r="H91" s="189"/>
      <c r="I91" s="189"/>
      <c r="J91" s="190">
        <f>IFERROR(INDEX(Products!$E$4:$E$500,MATCH(tblLines[[#This Row],[Description (Product)]],Products!$B$4:$B$500,0)),"")</f>
      </c>
      <c r="K91" s="191">
        <f>IF(OR(tblLines[[#This Row],[Description (Product)]]="",tblLines[[#This Row],[Rate 40Kg]]=""),"",tblLines[[#This Row],[Rate 40Kg]]/40*tblLines[[#This Row],[Pack Wt (KG)]])</f>
      </c>
      <c r="L91" s="192">
        <f>IF(OR(tblLines[[#This Row],[Rate / Pack]]="",tblLines[[#This Row],[Qty (Packs)]]=""),"",ROUND(tblLines[[#This Row],[Rate / Pack]]*tblLines[[#This Row],[Qty (Packs)]],0))</f>
      </c>
      <c r="M91" s="193">
        <f>IF(tblLines[[#This Row],[Amount]]="","",tblLines[[#This Row],[Amount]]*IFERROR(INDEX(Products!$I$4:$I$500,MATCH(tblLines[[#This Row],[Description (Product)]],Products!$B$4:$B$500,0)),frmCommRate))</f>
      </c>
      <c r="N91" s="189">
        <f>IF(tblLines[[#This Row],[Qty (Packs)]]="","",tblLines[[#This Row],[Qty (Packs)]]*tblLines[[#This Row],[Pack Wt (KG)]])</f>
      </c>
      <c r="O91" s="194"/>
      <c r="P91" s="194"/>
      <c r="Q91" s="194"/>
      <c r="R91" s="194"/>
    </row>
    <row r="92" ht="16.8" customHeight="1" spans="1:18" x14ac:dyDescent="0.25">
      <c r="A92" s="187"/>
      <c r="B92" s="188"/>
      <c r="C92" s="187"/>
      <c r="D92" s="187"/>
      <c r="E92" s="187"/>
      <c r="F92" s="187"/>
      <c r="G92" s="187"/>
      <c r="H92" s="189"/>
      <c r="I92" s="189"/>
      <c r="J92" s="190">
        <f>IFERROR(INDEX(Products!$E$4:$E$500,MATCH(tblLines[[#This Row],[Description (Product)]],Products!$B$4:$B$500,0)),"")</f>
      </c>
      <c r="K92" s="191">
        <f>IF(OR(tblLines[[#This Row],[Description (Product)]]="",tblLines[[#This Row],[Rate 40Kg]]=""),"",tblLines[[#This Row],[Rate 40Kg]]/40*tblLines[[#This Row],[Pack Wt (KG)]])</f>
      </c>
      <c r="L92" s="192">
        <f>IF(OR(tblLines[[#This Row],[Rate / Pack]]="",tblLines[[#This Row],[Qty (Packs)]]=""),"",ROUND(tblLines[[#This Row],[Rate / Pack]]*tblLines[[#This Row],[Qty (Packs)]],0))</f>
      </c>
      <c r="M92" s="193">
        <f>IF(tblLines[[#This Row],[Amount]]="","",tblLines[[#This Row],[Amount]]*IFERROR(INDEX(Products!$I$4:$I$500,MATCH(tblLines[[#This Row],[Description (Product)]],Products!$B$4:$B$500,0)),frmCommRate))</f>
      </c>
      <c r="N92" s="189">
        <f>IF(tblLines[[#This Row],[Qty (Packs)]]="","",tblLines[[#This Row],[Qty (Packs)]]*tblLines[[#This Row],[Pack Wt (KG)]])</f>
      </c>
      <c r="O92" s="194"/>
      <c r="P92" s="194"/>
      <c r="Q92" s="194"/>
      <c r="R92" s="194"/>
    </row>
    <row r="93" ht="16.8" customHeight="1" spans="1:18" x14ac:dyDescent="0.25">
      <c r="A93" s="187"/>
      <c r="B93" s="188"/>
      <c r="C93" s="187"/>
      <c r="D93" s="187"/>
      <c r="E93" s="187"/>
      <c r="F93" s="187"/>
      <c r="G93" s="187"/>
      <c r="H93" s="189"/>
      <c r="I93" s="189"/>
      <c r="J93" s="190">
        <f>IFERROR(INDEX(Products!$E$4:$E$500,MATCH(tblLines[[#This Row],[Description (Product)]],Products!$B$4:$B$500,0)),"")</f>
      </c>
      <c r="K93" s="191">
        <f>IF(OR(tblLines[[#This Row],[Description (Product)]]="",tblLines[[#This Row],[Rate 40Kg]]=""),"",tblLines[[#This Row],[Rate 40Kg]]/40*tblLines[[#This Row],[Pack Wt (KG)]])</f>
      </c>
      <c r="L93" s="192">
        <f>IF(OR(tblLines[[#This Row],[Rate / Pack]]="",tblLines[[#This Row],[Qty (Packs)]]=""),"",ROUND(tblLines[[#This Row],[Rate / Pack]]*tblLines[[#This Row],[Qty (Packs)]],0))</f>
      </c>
      <c r="M93" s="193">
        <f>IF(tblLines[[#This Row],[Amount]]="","",tblLines[[#This Row],[Amount]]*IFERROR(INDEX(Products!$I$4:$I$500,MATCH(tblLines[[#This Row],[Description (Product)]],Products!$B$4:$B$500,0)),frmCommRate))</f>
      </c>
      <c r="N93" s="189">
        <f>IF(tblLines[[#This Row],[Qty (Packs)]]="","",tblLines[[#This Row],[Qty (Packs)]]*tblLines[[#This Row],[Pack Wt (KG)]])</f>
      </c>
      <c r="O93" s="194"/>
      <c r="P93" s="194"/>
      <c r="Q93" s="194"/>
      <c r="R93" s="194"/>
    </row>
    <row r="94" ht="16.8" customHeight="1" spans="1:18" x14ac:dyDescent="0.25">
      <c r="A94" s="187"/>
      <c r="B94" s="188"/>
      <c r="C94" s="187"/>
      <c r="D94" s="187"/>
      <c r="E94" s="187"/>
      <c r="F94" s="187"/>
      <c r="G94" s="187"/>
      <c r="H94" s="189"/>
      <c r="I94" s="189"/>
      <c r="J94" s="190">
        <f>IFERROR(INDEX(Products!$E$4:$E$500,MATCH(tblLines[[#This Row],[Description (Product)]],Products!$B$4:$B$500,0)),"")</f>
      </c>
      <c r="K94" s="191">
        <f>IF(OR(tblLines[[#This Row],[Description (Product)]]="",tblLines[[#This Row],[Rate 40Kg]]=""),"",tblLines[[#This Row],[Rate 40Kg]]/40*tblLines[[#This Row],[Pack Wt (KG)]])</f>
      </c>
      <c r="L94" s="192">
        <f>IF(OR(tblLines[[#This Row],[Rate / Pack]]="",tblLines[[#This Row],[Qty (Packs)]]=""),"",ROUND(tblLines[[#This Row],[Rate / Pack]]*tblLines[[#This Row],[Qty (Packs)]],0))</f>
      </c>
      <c r="M94" s="193">
        <f>IF(tblLines[[#This Row],[Amount]]="","",tblLines[[#This Row],[Amount]]*IFERROR(INDEX(Products!$I$4:$I$500,MATCH(tblLines[[#This Row],[Description (Product)]],Products!$B$4:$B$500,0)),frmCommRate))</f>
      </c>
      <c r="N94" s="189">
        <f>IF(tblLines[[#This Row],[Qty (Packs)]]="","",tblLines[[#This Row],[Qty (Packs)]]*tblLines[[#This Row],[Pack Wt (KG)]])</f>
      </c>
      <c r="O94" s="194"/>
      <c r="P94" s="194"/>
      <c r="Q94" s="194"/>
      <c r="R94" s="194"/>
    </row>
    <row r="95" ht="16.8" customHeight="1" spans="1:18" x14ac:dyDescent="0.25">
      <c r="A95" s="187"/>
      <c r="B95" s="188"/>
      <c r="C95" s="187"/>
      <c r="D95" s="187"/>
      <c r="E95" s="187"/>
      <c r="F95" s="187"/>
      <c r="G95" s="187"/>
      <c r="H95" s="189"/>
      <c r="I95" s="189"/>
      <c r="J95" s="190">
        <f>IFERROR(INDEX(Products!$E$4:$E$500,MATCH(tblLines[[#This Row],[Description (Product)]],Products!$B$4:$B$500,0)),"")</f>
      </c>
      <c r="K95" s="191">
        <f>IF(OR(tblLines[[#This Row],[Description (Product)]]="",tblLines[[#This Row],[Rate 40Kg]]=""),"",tblLines[[#This Row],[Rate 40Kg]]/40*tblLines[[#This Row],[Pack Wt (KG)]])</f>
      </c>
      <c r="L95" s="192">
        <f>IF(OR(tblLines[[#This Row],[Rate / Pack]]="",tblLines[[#This Row],[Qty (Packs)]]=""),"",ROUND(tblLines[[#This Row],[Rate / Pack]]*tblLines[[#This Row],[Qty (Packs)]],0))</f>
      </c>
      <c r="M95" s="193">
        <f>IF(tblLines[[#This Row],[Amount]]="","",tblLines[[#This Row],[Amount]]*IFERROR(INDEX(Products!$I$4:$I$500,MATCH(tblLines[[#This Row],[Description (Product)]],Products!$B$4:$B$500,0)),frmCommRate))</f>
      </c>
      <c r="N95" s="189">
        <f>IF(tblLines[[#This Row],[Qty (Packs)]]="","",tblLines[[#This Row],[Qty (Packs)]]*tblLines[[#This Row],[Pack Wt (KG)]])</f>
      </c>
      <c r="O95" s="194"/>
      <c r="P95" s="194"/>
      <c r="Q95" s="194"/>
      <c r="R95" s="194"/>
    </row>
    <row r="96" ht="16.8" customHeight="1" spans="1:18" x14ac:dyDescent="0.25">
      <c r="A96" s="187">
        <v>4</v>
      </c>
      <c r="B96" s="188">
        <v>46266</v>
      </c>
      <c r="C96" s="187" t="s">
        <v>10</v>
      </c>
      <c r="D96" s="187" t="s">
        <v>136</v>
      </c>
      <c r="E96" s="187" t="s">
        <v>13</v>
      </c>
      <c r="F96" s="187" t="s">
        <v>137</v>
      </c>
      <c r="G96" s="187" t="s">
        <v>82</v>
      </c>
      <c r="H96" s="189">
        <v>200</v>
      </c>
      <c r="I96" s="189">
        <v>13500</v>
      </c>
      <c r="J96" s="190">
        <f>IFERROR(INDEX(Products!$E$4:$E$500,MATCH(tblLines[[#This Row],[Description (Product)]],Products!$B$4:$B$500,0)),"")</f>
        <v>25</v>
      </c>
      <c r="K96" s="191">
        <f>IF(OR(tblLines[[#This Row],[Description (Product)]]="",tblLines[[#This Row],[Rate 40Kg]]=""),"",tblLines[[#This Row],[Rate 40Kg]]/40*tblLines[[#This Row],[Pack Wt (KG)]])</f>
        <v>8437.5</v>
      </c>
      <c r="L96" s="192">
        <f>IF(OR(tblLines[[#This Row],[Rate / Pack]]="",tblLines[[#This Row],[Qty (Packs)]]=""),"",ROUND(tblLines[[#This Row],[Rate / Pack]]*tblLines[[#This Row],[Qty (Packs)]],0))</f>
        <v>1687500</v>
      </c>
      <c r="M96" s="193">
        <f>IF(tblLines[[#This Row],[Amount]]="","",tblLines[[#This Row],[Amount]]*IFERROR(INDEX(Products!$I$4:$I$500,MATCH(tblLines[[#This Row],[Description (Product)]],Products!$B$4:$B$500,0)),frmCommRate))</f>
        <v>5906.25</v>
      </c>
      <c r="N96" s="189">
        <f>IF(tblLines[[#This Row],[Qty (Packs)]]="","",tblLines[[#This Row],[Qty (Packs)]]*tblLines[[#This Row],[Pack Wt (KG)]])</f>
        <v>5000</v>
      </c>
      <c r="O96" s="194"/>
      <c r="P96" s="194"/>
      <c r="Q96" s="194"/>
      <c r="R96" s="194"/>
    </row>
    <row r="97" ht="16.8" customHeight="1" spans="1:18" x14ac:dyDescent="0.25">
      <c r="A97" s="187">
        <v>4</v>
      </c>
      <c r="B97" s="188">
        <v>46266</v>
      </c>
      <c r="C97" s="187" t="s">
        <v>10</v>
      </c>
      <c r="D97" s="187" t="s">
        <v>136</v>
      </c>
      <c r="E97" s="187" t="s">
        <v>13</v>
      </c>
      <c r="F97" s="187" t="s">
        <v>137</v>
      </c>
      <c r="G97" s="187" t="s">
        <v>83</v>
      </c>
      <c r="H97" s="189">
        <v>30</v>
      </c>
      <c r="I97" s="189">
        <v>14000</v>
      </c>
      <c r="J97" s="190">
        <f>IFERROR(INDEX(Products!$E$4:$E$500,MATCH(tblLines[[#This Row],[Description (Product)]],Products!$B$4:$B$500,0)),"")</f>
        <v>40</v>
      </c>
      <c r="K97" s="191">
        <f>IF(OR(tblLines[[#This Row],[Description (Product)]]="",tblLines[[#This Row],[Rate 40Kg]]=""),"",tblLines[[#This Row],[Rate 40Kg]]/40*tblLines[[#This Row],[Pack Wt (KG)]])</f>
        <v>14000</v>
      </c>
      <c r="L97" s="192">
        <f>IF(OR(tblLines[[#This Row],[Rate / Pack]]="",tblLines[[#This Row],[Qty (Packs)]]=""),"",ROUND(tblLines[[#This Row],[Rate / Pack]]*tblLines[[#This Row],[Qty (Packs)]],0))</f>
        <v>420000</v>
      </c>
      <c r="M97" s="193">
        <f>IF(tblLines[[#This Row],[Amount]]="","",tblLines[[#This Row],[Amount]]*IFERROR(INDEX(Products!$I$4:$I$500,MATCH(tblLines[[#This Row],[Description (Product)]],Products!$B$4:$B$500,0)),frmCommRate))</f>
        <v>1470</v>
      </c>
      <c r="N97" s="189">
        <f>IF(tblLines[[#This Row],[Qty (Packs)]]="","",tblLines[[#This Row],[Qty (Packs)]]*tblLines[[#This Row],[Pack Wt (KG)]])</f>
        <v>1200</v>
      </c>
      <c r="O97" s="194"/>
      <c r="P97" s="194"/>
      <c r="Q97" s="194"/>
      <c r="R97" s="194"/>
    </row>
    <row r="98" ht="16.8" customHeight="1" spans="1:18" x14ac:dyDescent="0.25">
      <c r="A98" s="187">
        <v>4</v>
      </c>
      <c r="B98" s="188">
        <v>46266</v>
      </c>
      <c r="C98" s="187" t="s">
        <v>10</v>
      </c>
      <c r="D98" s="187" t="s">
        <v>136</v>
      </c>
      <c r="E98" s="187" t="s">
        <v>13</v>
      </c>
      <c r="F98" s="187" t="s">
        <v>137</v>
      </c>
      <c r="G98" s="187" t="s">
        <v>74</v>
      </c>
      <c r="H98" s="189">
        <v>230</v>
      </c>
      <c r="I98" s="189">
        <v>7650</v>
      </c>
      <c r="J98" s="190">
        <f>IFERROR(INDEX(Products!$E$4:$E$500,MATCH(tblLines[[#This Row],[Description (Product)]],Products!$B$4:$B$500,0)),"")</f>
        <v>25</v>
      </c>
      <c r="K98" s="191">
        <f>IF(OR(tblLines[[#This Row],[Description (Product)]]="",tblLines[[#This Row],[Rate 40Kg]]=""),"",tblLines[[#This Row],[Rate 40Kg]]/40*tblLines[[#This Row],[Pack Wt (KG)]])</f>
        <v>4781.25</v>
      </c>
      <c r="L98" s="192">
        <f>IF(OR(tblLines[[#This Row],[Rate / Pack]]="",tblLines[[#This Row],[Qty (Packs)]]=""),"",ROUND(tblLines[[#This Row],[Rate / Pack]]*tblLines[[#This Row],[Qty (Packs)]],0))</f>
        <v>1099688</v>
      </c>
      <c r="M98" s="193">
        <f>IF(tblLines[[#This Row],[Amount]]="","",tblLines[[#This Row],[Amount]]*IFERROR(INDEX(Products!$I$4:$I$500,MATCH(tblLines[[#This Row],[Description (Product)]],Products!$B$4:$B$500,0)),frmCommRate))</f>
        <v>3848.908</v>
      </c>
      <c r="N98" s="189">
        <f>IF(tblLines[[#This Row],[Qty (Packs)]]="","",tblLines[[#This Row],[Qty (Packs)]]*tblLines[[#This Row],[Pack Wt (KG)]])</f>
        <v>5750</v>
      </c>
      <c r="O98" s="194"/>
      <c r="P98" s="194"/>
      <c r="Q98" s="194"/>
      <c r="R98" s="194"/>
    </row>
    <row r="99" ht="16.8" customHeight="1" spans="1:18" x14ac:dyDescent="0.25">
      <c r="A99" s="187">
        <v>4</v>
      </c>
      <c r="B99" s="188">
        <v>46266</v>
      </c>
      <c r="C99" s="187" t="s">
        <v>10</v>
      </c>
      <c r="D99" s="187" t="s">
        <v>136</v>
      </c>
      <c r="E99" s="187" t="s">
        <v>13</v>
      </c>
      <c r="F99" s="187" t="s">
        <v>137</v>
      </c>
      <c r="G99" s="187" t="s">
        <v>78</v>
      </c>
      <c r="H99" s="189">
        <v>100</v>
      </c>
      <c r="I99" s="189">
        <v>12500</v>
      </c>
      <c r="J99" s="190">
        <f>IFERROR(INDEX(Products!$E$4:$E$500,MATCH(tblLines[[#This Row],[Description (Product)]],Products!$B$4:$B$500,0)),"")</f>
        <v>25</v>
      </c>
      <c r="K99" s="191">
        <f>IF(OR(tblLines[[#This Row],[Description (Product)]]="",tblLines[[#This Row],[Rate 40Kg]]=""),"",tblLines[[#This Row],[Rate 40Kg]]/40*tblLines[[#This Row],[Pack Wt (KG)]])</f>
        <v>7812.5</v>
      </c>
      <c r="L99" s="192">
        <f>IF(OR(tblLines[[#This Row],[Rate / Pack]]="",tblLines[[#This Row],[Qty (Packs)]]=""),"",ROUND(tblLines[[#This Row],[Rate / Pack]]*tblLines[[#This Row],[Qty (Packs)]],0))</f>
        <v>781250</v>
      </c>
      <c r="M99" s="193">
        <f>IF(tblLines[[#This Row],[Amount]]="","",tblLines[[#This Row],[Amount]]*IFERROR(INDEX(Products!$I$4:$I$500,MATCH(tblLines[[#This Row],[Description (Product)]],Products!$B$4:$B$500,0)),frmCommRate))</f>
        <v>2734.375</v>
      </c>
      <c r="N99" s="189">
        <f>IF(tblLines[[#This Row],[Qty (Packs)]]="","",tblLines[[#This Row],[Qty (Packs)]]*tblLines[[#This Row],[Pack Wt (KG)]])</f>
        <v>2500</v>
      </c>
      <c r="O99" s="194"/>
      <c r="P99" s="194"/>
      <c r="Q99" s="194"/>
      <c r="R99" s="194"/>
    </row>
    <row r="100" ht="16.8" customHeight="1" spans="1:18" x14ac:dyDescent="0.25">
      <c r="A100" s="187">
        <v>4</v>
      </c>
      <c r="B100" s="188">
        <v>46266</v>
      </c>
      <c r="C100" s="187" t="s">
        <v>10</v>
      </c>
      <c r="D100" s="187" t="s">
        <v>136</v>
      </c>
      <c r="E100" s="187" t="s">
        <v>13</v>
      </c>
      <c r="F100" s="187" t="s">
        <v>137</v>
      </c>
      <c r="G100" s="187" t="s">
        <v>80</v>
      </c>
      <c r="H100" s="189">
        <v>50</v>
      </c>
      <c r="I100" s="189">
        <v>14200</v>
      </c>
      <c r="J100" s="190">
        <f>IFERROR(INDEX(Products!$E$4:$E$500,MATCH(tblLines[[#This Row],[Description (Product)]],Products!$B$4:$B$500,0)),"")</f>
        <v>20</v>
      </c>
      <c r="K100" s="191">
        <f>IF(OR(tblLines[[#This Row],[Description (Product)]]="",tblLines[[#This Row],[Rate 40Kg]]=""),"",tblLines[[#This Row],[Rate 40Kg]]/40*tblLines[[#This Row],[Pack Wt (KG)]])</f>
        <v>7100</v>
      </c>
      <c r="L100" s="192">
        <f>IF(OR(tblLines[[#This Row],[Rate / Pack]]="",tblLines[[#This Row],[Qty (Packs)]]=""),"",ROUND(tblLines[[#This Row],[Rate / Pack]]*tblLines[[#This Row],[Qty (Packs)]],0))</f>
        <v>355000</v>
      </c>
      <c r="M100" s="193">
        <f>IF(tblLines[[#This Row],[Amount]]="","",tblLines[[#This Row],[Amount]]*IFERROR(INDEX(Products!$I$4:$I$500,MATCH(tblLines[[#This Row],[Description (Product)]],Products!$B$4:$B$500,0)),frmCommRate))</f>
        <v>1242.5</v>
      </c>
      <c r="N100" s="189">
        <f>IF(tblLines[[#This Row],[Qty (Packs)]]="","",tblLines[[#This Row],[Qty (Packs)]]*tblLines[[#This Row],[Pack Wt (KG)]])</f>
        <v>1000</v>
      </c>
      <c r="O100" s="194"/>
      <c r="P100" s="194"/>
      <c r="Q100" s="194"/>
      <c r="R100" s="194"/>
    </row>
    <row r="101" ht="16.8" customHeight="1" spans="1:18" x14ac:dyDescent="0.25">
      <c r="A101" s="187"/>
      <c r="B101" s="188"/>
      <c r="C101" s="187"/>
      <c r="D101" s="187"/>
      <c r="E101" s="187"/>
      <c r="F101" s="187"/>
      <c r="G101" s="187"/>
      <c r="H101" s="189"/>
      <c r="I101" s="189"/>
      <c r="J101" s="190">
        <f>IFERROR(INDEX(Products!$E$4:$E$500,MATCH(tblLines[[#This Row],[Description (Product)]],Products!$B$4:$B$500,0)),"")</f>
      </c>
      <c r="K101" s="191">
        <f>IF(OR(tblLines[[#This Row],[Description (Product)]]="",tblLines[[#This Row],[Rate 40Kg]]=""),"",tblLines[[#This Row],[Rate 40Kg]]/40*tblLines[[#This Row],[Pack Wt (KG)]])</f>
      </c>
      <c r="L101" s="192">
        <f>IF(OR(tblLines[[#This Row],[Rate / Pack]]="",tblLines[[#This Row],[Qty (Packs)]]=""),"",ROUND(tblLines[[#This Row],[Rate / Pack]]*tblLines[[#This Row],[Qty (Packs)]],0))</f>
      </c>
      <c r="M101" s="193">
        <f>IF(tblLines[[#This Row],[Amount]]="","",tblLines[[#This Row],[Amount]]*IFERROR(INDEX(Products!$I$4:$I$500,MATCH(tblLines[[#This Row],[Description (Product)]],Products!$B$4:$B$500,0)),frmCommRate))</f>
      </c>
      <c r="N101" s="189">
        <f>IF(tblLines[[#This Row],[Qty (Packs)]]="","",tblLines[[#This Row],[Qty (Packs)]]*tblLines[[#This Row],[Pack Wt (KG)]])</f>
      </c>
      <c r="O101" s="194"/>
      <c r="P101" s="194"/>
      <c r="Q101" s="194"/>
      <c r="R101" s="194"/>
    </row>
    <row r="102" ht="16.8" customHeight="1" spans="1:18" x14ac:dyDescent="0.25">
      <c r="A102" s="187"/>
      <c r="B102" s="188"/>
      <c r="C102" s="187"/>
      <c r="D102" s="187"/>
      <c r="E102" s="187"/>
      <c r="F102" s="187"/>
      <c r="G102" s="187"/>
      <c r="H102" s="189"/>
      <c r="I102" s="189"/>
      <c r="J102" s="190">
        <f>IFERROR(INDEX(Products!$E$4:$E$500,MATCH(tblLines[[#This Row],[Description (Product)]],Products!$B$4:$B$500,0)),"")</f>
      </c>
      <c r="K102" s="191">
        <f>IF(OR(tblLines[[#This Row],[Description (Product)]]="",tblLines[[#This Row],[Rate 40Kg]]=""),"",tblLines[[#This Row],[Rate 40Kg]]/40*tblLines[[#This Row],[Pack Wt (KG)]])</f>
      </c>
      <c r="L102" s="192">
        <f>IF(OR(tblLines[[#This Row],[Rate / Pack]]="",tblLines[[#This Row],[Qty (Packs)]]=""),"",ROUND(tblLines[[#This Row],[Rate / Pack]]*tblLines[[#This Row],[Qty (Packs)]],0))</f>
      </c>
      <c r="M102" s="193">
        <f>IF(tblLines[[#This Row],[Amount]]="","",tblLines[[#This Row],[Amount]]*IFERROR(INDEX(Products!$I$4:$I$500,MATCH(tblLines[[#This Row],[Description (Product)]],Products!$B$4:$B$500,0)),frmCommRate))</f>
      </c>
      <c r="N102" s="189">
        <f>IF(tblLines[[#This Row],[Qty (Packs)]]="","",tblLines[[#This Row],[Qty (Packs)]]*tblLines[[#This Row],[Pack Wt (KG)]])</f>
      </c>
      <c r="O102" s="194"/>
      <c r="P102" s="194"/>
      <c r="Q102" s="194"/>
      <c r="R102" s="194"/>
    </row>
    <row r="103" ht="16.8" customHeight="1" spans="1:18" x14ac:dyDescent="0.25">
      <c r="A103" s="187">
        <v>5</v>
      </c>
      <c r="B103" s="188">
        <v>46266</v>
      </c>
      <c r="C103" s="187" t="s">
        <v>10</v>
      </c>
      <c r="D103" s="187" t="s">
        <v>138</v>
      </c>
      <c r="E103" s="187" t="s">
        <v>126</v>
      </c>
      <c r="F103" s="187" t="s">
        <v>127</v>
      </c>
      <c r="G103" s="187" t="s">
        <v>72</v>
      </c>
      <c r="H103" s="189">
        <v>100</v>
      </c>
      <c r="I103" s="189">
        <v>12150</v>
      </c>
      <c r="J103" s="190">
        <f>IFERROR(INDEX(Products!$E$4:$E$500,MATCH(tblLines[[#This Row],[Description (Product)]],Products!$B$4:$B$500,0)),"")</f>
        <v>25</v>
      </c>
      <c r="K103" s="191">
        <f>IF(OR(tblLines[[#This Row],[Description (Product)]]="",tblLines[[#This Row],[Rate 40Kg]]=""),"",tblLines[[#This Row],[Rate 40Kg]]/40*tblLines[[#This Row],[Pack Wt (KG)]])</f>
        <v>7593.75</v>
      </c>
      <c r="L103" s="192">
        <f>IF(OR(tblLines[[#This Row],[Rate / Pack]]="",tblLines[[#This Row],[Qty (Packs)]]=""),"",ROUND(tblLines[[#This Row],[Rate / Pack]]*tblLines[[#This Row],[Qty (Packs)]],0))</f>
        <v>759375</v>
      </c>
      <c r="M103" s="193">
        <f>IF(tblLines[[#This Row],[Amount]]="","",tblLines[[#This Row],[Amount]]*IFERROR(INDEX(Products!$I$4:$I$500,MATCH(tblLines[[#This Row],[Description (Product)]],Products!$B$4:$B$500,0)),frmCommRate))</f>
        <v>2657.8125</v>
      </c>
      <c r="N103" s="189">
        <f>IF(tblLines[[#This Row],[Qty (Packs)]]="","",tblLines[[#This Row],[Qty (Packs)]]*tblLines[[#This Row],[Pack Wt (KG)]])</f>
        <v>2500</v>
      </c>
      <c r="O103" s="194"/>
      <c r="P103" s="194"/>
      <c r="Q103" s="194"/>
      <c r="R103" s="194"/>
    </row>
    <row r="104" ht="16.8" customHeight="1" spans="1:18" x14ac:dyDescent="0.25">
      <c r="A104" s="187">
        <v>5</v>
      </c>
      <c r="B104" s="188">
        <v>46266</v>
      </c>
      <c r="C104" s="187" t="s">
        <v>10</v>
      </c>
      <c r="D104" s="187" t="s">
        <v>138</v>
      </c>
      <c r="E104" s="187" t="s">
        <v>126</v>
      </c>
      <c r="F104" s="187" t="s">
        <v>127</v>
      </c>
      <c r="G104" s="187" t="s">
        <v>82</v>
      </c>
      <c r="H104" s="189">
        <v>400</v>
      </c>
      <c r="I104" s="189">
        <v>13500</v>
      </c>
      <c r="J104" s="190">
        <f>IFERROR(INDEX(Products!$E$4:$E$500,MATCH(tblLines[[#This Row],[Description (Product)]],Products!$B$4:$B$500,0)),"")</f>
        <v>25</v>
      </c>
      <c r="K104" s="191">
        <f>IF(OR(tblLines[[#This Row],[Description (Product)]]="",tblLines[[#This Row],[Rate 40Kg]]=""),"",tblLines[[#This Row],[Rate 40Kg]]/40*tblLines[[#This Row],[Pack Wt (KG)]])</f>
        <v>8437.5</v>
      </c>
      <c r="L104" s="192">
        <f>IF(OR(tblLines[[#This Row],[Rate / Pack]]="",tblLines[[#This Row],[Qty (Packs)]]=""),"",ROUND(tblLines[[#This Row],[Rate / Pack]]*tblLines[[#This Row],[Qty (Packs)]],0))</f>
        <v>3375000</v>
      </c>
      <c r="M104" s="193">
        <f>IF(tblLines[[#This Row],[Amount]]="","",tblLines[[#This Row],[Amount]]*IFERROR(INDEX(Products!$I$4:$I$500,MATCH(tblLines[[#This Row],[Description (Product)]],Products!$B$4:$B$500,0)),frmCommRate))</f>
        <v>11812.5</v>
      </c>
      <c r="N104" s="189">
        <f>IF(tblLines[[#This Row],[Qty (Packs)]]="","",tblLines[[#This Row],[Qty (Packs)]]*tblLines[[#This Row],[Pack Wt (KG)]])</f>
        <v>10000</v>
      </c>
      <c r="O104" s="194"/>
      <c r="P104" s="194"/>
      <c r="Q104" s="194"/>
      <c r="R104" s="194"/>
    </row>
    <row r="105" ht="16.8" customHeight="1" spans="1:18" x14ac:dyDescent="0.25">
      <c r="A105" s="187"/>
      <c r="B105" s="188"/>
      <c r="C105" s="187"/>
      <c r="D105" s="187"/>
      <c r="E105" s="187"/>
      <c r="F105" s="187"/>
      <c r="G105" s="187"/>
      <c r="H105" s="189"/>
      <c r="I105" s="189"/>
      <c r="J105" s="190">
        <f>IFERROR(INDEX(Products!$E$4:$E$500,MATCH(tblLines[[#This Row],[Description (Product)]],Products!$B$4:$B$500,0)),"")</f>
      </c>
      <c r="K105" s="191">
        <f>IF(OR(tblLines[[#This Row],[Description (Product)]]="",tblLines[[#This Row],[Rate 40Kg]]=""),"",tblLines[[#This Row],[Rate 40Kg]]/40*tblLines[[#This Row],[Pack Wt (KG)]])</f>
      </c>
      <c r="L105" s="192">
        <f>IF(OR(tblLines[[#This Row],[Rate / Pack]]="",tblLines[[#This Row],[Qty (Packs)]]=""),"",ROUND(tblLines[[#This Row],[Rate / Pack]]*tblLines[[#This Row],[Qty (Packs)]],0))</f>
      </c>
      <c r="M105" s="193">
        <f>IF(tblLines[[#This Row],[Amount]]="","",tblLines[[#This Row],[Amount]]*IFERROR(INDEX(Products!$I$4:$I$500,MATCH(tblLines[[#This Row],[Description (Product)]],Products!$B$4:$B$500,0)),frmCommRate))</f>
      </c>
      <c r="N105" s="189">
        <f>IF(tblLines[[#This Row],[Qty (Packs)]]="","",tblLines[[#This Row],[Qty (Packs)]]*tblLines[[#This Row],[Pack Wt (KG)]])</f>
      </c>
      <c r="O105" s="194"/>
      <c r="P105" s="194"/>
      <c r="Q105" s="194"/>
      <c r="R105" s="194"/>
    </row>
    <row r="106" ht="16.8" customHeight="1" spans="1:18" x14ac:dyDescent="0.25">
      <c r="A106" s="187"/>
      <c r="B106" s="188"/>
      <c r="C106" s="187"/>
      <c r="D106" s="187"/>
      <c r="E106" s="187"/>
      <c r="F106" s="187"/>
      <c r="G106" s="187"/>
      <c r="H106" s="189"/>
      <c r="I106" s="189"/>
      <c r="J106" s="190">
        <f>IFERROR(INDEX(Products!$E$4:$E$500,MATCH(tblLines[[#This Row],[Description (Product)]],Products!$B$4:$B$500,0)),"")</f>
      </c>
      <c r="K106" s="191">
        <f>IF(OR(tblLines[[#This Row],[Description (Product)]]="",tblLines[[#This Row],[Rate 40Kg]]=""),"",tblLines[[#This Row],[Rate 40Kg]]/40*tblLines[[#This Row],[Pack Wt (KG)]])</f>
      </c>
      <c r="L106" s="192">
        <f>IF(OR(tblLines[[#This Row],[Rate / Pack]]="",tblLines[[#This Row],[Qty (Packs)]]=""),"",ROUND(tblLines[[#This Row],[Rate / Pack]]*tblLines[[#This Row],[Qty (Packs)]],0))</f>
      </c>
      <c r="M106" s="193">
        <f>IF(tblLines[[#This Row],[Amount]]="","",tblLines[[#This Row],[Amount]]*IFERROR(INDEX(Products!$I$4:$I$500,MATCH(tblLines[[#This Row],[Description (Product)]],Products!$B$4:$B$500,0)),frmCommRate))</f>
      </c>
      <c r="N106" s="189">
        <f>IF(tblLines[[#This Row],[Qty (Packs)]]="","",tblLines[[#This Row],[Qty (Packs)]]*tblLines[[#This Row],[Pack Wt (KG)]])</f>
      </c>
      <c r="O106" s="194"/>
      <c r="P106" s="194"/>
      <c r="Q106" s="194"/>
      <c r="R106" s="194"/>
    </row>
    <row r="107" ht="16.8" customHeight="1" spans="1:18" x14ac:dyDescent="0.25">
      <c r="A107" s="187">
        <v>69</v>
      </c>
      <c r="B107" s="188">
        <v>46272</v>
      </c>
      <c r="C107" s="187" t="s">
        <v>139</v>
      </c>
      <c r="D107" s="187"/>
      <c r="E107" s="187" t="s">
        <v>126</v>
      </c>
      <c r="F107" s="187" t="s">
        <v>60</v>
      </c>
      <c r="G107" s="187" t="s">
        <v>80</v>
      </c>
      <c r="H107" s="189">
        <v>250</v>
      </c>
      <c r="I107" s="189">
        <v>14000</v>
      </c>
      <c r="J107" s="190">
        <f>IFERROR(INDEX(Products!$E$4:$E$500,MATCH(tblLines[[#This Row],[Description (Product)]],Products!$B$4:$B$500,0)),"")</f>
        <v>20</v>
      </c>
      <c r="K107" s="191">
        <f>IF(OR(tblLines[[#This Row],[Description (Product)]]="",tblLines[[#This Row],[Rate 40Kg]]=""),"",tblLines[[#This Row],[Rate 40Kg]]/40*tblLines[[#This Row],[Pack Wt (KG)]])</f>
        <v>7000</v>
      </c>
      <c r="L107" s="192">
        <f>IF(OR(tblLines[[#This Row],[Rate / Pack]]="",tblLines[[#This Row],[Qty (Packs)]]=""),"",ROUND(tblLines[[#This Row],[Rate / Pack]]*tblLines[[#This Row],[Qty (Packs)]],0))</f>
        <v>1750000</v>
      </c>
      <c r="M107" s="193">
        <f>IF(tblLines[[#This Row],[Amount]]="","",tblLines[[#This Row],[Amount]]*IFERROR(INDEX(Products!$I$4:$I$500,MATCH(tblLines[[#This Row],[Description (Product)]],Products!$B$4:$B$500,0)),frmCommRate))</f>
        <v>6125</v>
      </c>
      <c r="N107" s="189">
        <f>IF(tblLines[[#This Row],[Qty (Packs)]]="","",tblLines[[#This Row],[Qty (Packs)]]*tblLines[[#This Row],[Pack Wt (KG)]])</f>
        <v>5000</v>
      </c>
      <c r="O107" s="194"/>
      <c r="P107" s="194"/>
      <c r="Q107" s="194"/>
      <c r="R107" s="194"/>
    </row>
    <row r="108" ht="16.8" customHeight="1" spans="1:18" x14ac:dyDescent="0.25">
      <c r="A108" s="187">
        <v>69</v>
      </c>
      <c r="B108" s="188">
        <v>46272</v>
      </c>
      <c r="C108" s="187" t="s">
        <v>139</v>
      </c>
      <c r="D108" s="187"/>
      <c r="E108" s="187" t="s">
        <v>126</v>
      </c>
      <c r="F108" s="187" t="s">
        <v>60</v>
      </c>
      <c r="G108" s="187" t="s">
        <v>74</v>
      </c>
      <c r="H108" s="189">
        <v>400</v>
      </c>
      <c r="I108" s="189">
        <v>7650</v>
      </c>
      <c r="J108" s="190">
        <f>IFERROR(INDEX(Products!$E$4:$E$500,MATCH(tblLines[[#This Row],[Description (Product)]],Products!$B$4:$B$500,0)),"")</f>
        <v>25</v>
      </c>
      <c r="K108" s="191">
        <f>IF(OR(tblLines[[#This Row],[Description (Product)]]="",tblLines[[#This Row],[Rate 40Kg]]=""),"",tblLines[[#This Row],[Rate 40Kg]]/40*tblLines[[#This Row],[Pack Wt (KG)]])</f>
        <v>4781.25</v>
      </c>
      <c r="L108" s="192">
        <f>IF(OR(tblLines[[#This Row],[Rate / Pack]]="",tblLines[[#This Row],[Qty (Packs)]]=""),"",ROUND(tblLines[[#This Row],[Rate / Pack]]*tblLines[[#This Row],[Qty (Packs)]],0))</f>
        <v>1912500</v>
      </c>
      <c r="M108" s="193">
        <f>IF(tblLines[[#This Row],[Amount]]="","",tblLines[[#This Row],[Amount]]*IFERROR(INDEX(Products!$I$4:$I$500,MATCH(tblLines[[#This Row],[Description (Product)]],Products!$B$4:$B$500,0)),frmCommRate))</f>
        <v>6693.75</v>
      </c>
      <c r="N108" s="189">
        <f>IF(tblLines[[#This Row],[Qty (Packs)]]="","",tblLines[[#This Row],[Qty (Packs)]]*tblLines[[#This Row],[Pack Wt (KG)]])</f>
        <v>10000</v>
      </c>
      <c r="O108" s="194"/>
      <c r="P108" s="194"/>
      <c r="Q108" s="194"/>
      <c r="R108" s="194"/>
    </row>
    <row r="109" ht="16.8" customHeight="1" spans="1:18" x14ac:dyDescent="0.25">
      <c r="A109" s="187"/>
      <c r="B109" s="188"/>
      <c r="C109" s="187"/>
      <c r="D109" s="187"/>
      <c r="E109" s="187"/>
      <c r="F109" s="187"/>
      <c r="G109" s="187"/>
      <c r="H109" s="189"/>
      <c r="I109" s="189"/>
      <c r="J109" s="190">
        <f>IFERROR(INDEX(Products!$E$4:$E$500,MATCH(tblLines[[#This Row],[Description (Product)]],Products!$B$4:$B$500,0)),"")</f>
      </c>
      <c r="K109" s="191">
        <f>IF(OR(tblLines[[#This Row],[Description (Product)]]="",tblLines[[#This Row],[Rate 40Kg]]=""),"",tblLines[[#This Row],[Rate 40Kg]]/40*tblLines[[#This Row],[Pack Wt (KG)]])</f>
      </c>
      <c r="L109" s="192">
        <f>IF(OR(tblLines[[#This Row],[Rate / Pack]]="",tblLines[[#This Row],[Qty (Packs)]]=""),"",ROUND(tblLines[[#This Row],[Rate / Pack]]*tblLines[[#This Row],[Qty (Packs)]],0))</f>
      </c>
      <c r="M109" s="193">
        <f>IF(tblLines[[#This Row],[Amount]]="","",tblLines[[#This Row],[Amount]]*IFERROR(INDEX(Products!$I$4:$I$500,MATCH(tblLines[[#This Row],[Description (Product)]],Products!$B$4:$B$500,0)),frmCommRate))</f>
      </c>
      <c r="N109" s="189">
        <f>IF(tblLines[[#This Row],[Qty (Packs)]]="","",tblLines[[#This Row],[Qty (Packs)]]*tblLines[[#This Row],[Pack Wt (KG)]])</f>
      </c>
      <c r="O109" s="194"/>
      <c r="P109" s="194"/>
      <c r="Q109" s="194"/>
      <c r="R109" s="194"/>
    </row>
    <row r="110" ht="16.8" customHeight="1" spans="1:18" x14ac:dyDescent="0.25">
      <c r="A110" s="187"/>
      <c r="B110" s="188"/>
      <c r="C110" s="187"/>
      <c r="D110" s="187"/>
      <c r="E110" s="187"/>
      <c r="F110" s="187"/>
      <c r="G110" s="187"/>
      <c r="H110" s="189"/>
      <c r="I110" s="189"/>
      <c r="J110" s="190">
        <f>IFERROR(INDEX(Products!$E$4:$E$500,MATCH(tblLines[[#This Row],[Description (Product)]],Products!$B$4:$B$500,0)),"")</f>
      </c>
      <c r="K110" s="191">
        <f>IF(OR(tblLines[[#This Row],[Description (Product)]]="",tblLines[[#This Row],[Rate 40Kg]]=""),"",tblLines[[#This Row],[Rate 40Kg]]/40*tblLines[[#This Row],[Pack Wt (KG)]])</f>
      </c>
      <c r="L110" s="192">
        <f>IF(OR(tblLines[[#This Row],[Rate / Pack]]="",tblLines[[#This Row],[Qty (Packs)]]=""),"",ROUND(tblLines[[#This Row],[Rate / Pack]]*tblLines[[#This Row],[Qty (Packs)]],0))</f>
      </c>
      <c r="M110" s="193">
        <f>IF(tblLines[[#This Row],[Amount]]="","",tblLines[[#This Row],[Amount]]*IFERROR(INDEX(Products!$I$4:$I$500,MATCH(tblLines[[#This Row],[Description (Product)]],Products!$B$4:$B$500,0)),frmCommRate))</f>
      </c>
      <c r="N110" s="189">
        <f>IF(tblLines[[#This Row],[Qty (Packs)]]="","",tblLines[[#This Row],[Qty (Packs)]]*tblLines[[#This Row],[Pack Wt (KG)]])</f>
      </c>
      <c r="O110" s="194"/>
      <c r="P110" s="194"/>
      <c r="Q110" s="194"/>
      <c r="R110" s="194"/>
    </row>
    <row r="111" ht="16.8" customHeight="1" spans="1:18" x14ac:dyDescent="0.25">
      <c r="A111" s="187"/>
      <c r="B111" s="188"/>
      <c r="C111" s="187"/>
      <c r="D111" s="187"/>
      <c r="E111" s="187"/>
      <c r="F111" s="187"/>
      <c r="G111" s="187"/>
      <c r="H111" s="189"/>
      <c r="I111" s="189"/>
      <c r="J111" s="190">
        <f>IFERROR(INDEX(Products!$E$4:$E$500,MATCH(tblLines[[#This Row],[Description (Product)]],Products!$B$4:$B$500,0)),"")</f>
      </c>
      <c r="K111" s="191">
        <f>IF(OR(tblLines[[#This Row],[Description (Product)]]="",tblLines[[#This Row],[Rate 40Kg]]=""),"",tblLines[[#This Row],[Rate 40Kg]]/40*tblLines[[#This Row],[Pack Wt (KG)]])</f>
      </c>
      <c r="L111" s="192">
        <f>IF(OR(tblLines[[#This Row],[Rate / Pack]]="",tblLines[[#This Row],[Qty (Packs)]]=""),"",ROUND(tblLines[[#This Row],[Rate / Pack]]*tblLines[[#This Row],[Qty (Packs)]],0))</f>
      </c>
      <c r="M111" s="193">
        <f>IF(tblLines[[#This Row],[Amount]]="","",tblLines[[#This Row],[Amount]]*IFERROR(INDEX(Products!$I$4:$I$500,MATCH(tblLines[[#This Row],[Description (Product)]],Products!$B$4:$B$500,0)),frmCommRate))</f>
      </c>
      <c r="N111" s="189">
        <f>IF(tblLines[[#This Row],[Qty (Packs)]]="","",tblLines[[#This Row],[Qty (Packs)]]*tblLines[[#This Row],[Pack Wt (KG)]])</f>
      </c>
      <c r="O111" s="194"/>
      <c r="P111" s="194"/>
      <c r="Q111" s="194"/>
      <c r="R111" s="194"/>
    </row>
    <row r="112" ht="16.8" customHeight="1" spans="1:18" x14ac:dyDescent="0.25">
      <c r="A112" s="187"/>
      <c r="B112" s="188"/>
      <c r="C112" s="187"/>
      <c r="D112" s="187"/>
      <c r="E112" s="187"/>
      <c r="F112" s="187"/>
      <c r="G112" s="187"/>
      <c r="H112" s="189"/>
      <c r="I112" s="189"/>
      <c r="J112" s="190">
        <f>IFERROR(INDEX(Products!$E$4:$E$500,MATCH(tblLines[[#This Row],[Description (Product)]],Products!$B$4:$B$500,0)),"")</f>
      </c>
      <c r="K112" s="191">
        <f>IF(OR(tblLines[[#This Row],[Description (Product)]]="",tblLines[[#This Row],[Rate 40Kg]]=""),"",tblLines[[#This Row],[Rate 40Kg]]/40*tblLines[[#This Row],[Pack Wt (KG)]])</f>
      </c>
      <c r="L112" s="192">
        <f>IF(OR(tblLines[[#This Row],[Rate / Pack]]="",tblLines[[#This Row],[Qty (Packs)]]=""),"",ROUND(tblLines[[#This Row],[Rate / Pack]]*tblLines[[#This Row],[Qty (Packs)]],0))</f>
      </c>
      <c r="M112" s="193">
        <f>IF(tblLines[[#This Row],[Amount]]="","",tblLines[[#This Row],[Amount]]*IFERROR(INDEX(Products!$I$4:$I$500,MATCH(tblLines[[#This Row],[Description (Product)]],Products!$B$4:$B$500,0)),frmCommRate))</f>
      </c>
      <c r="N112" s="189">
        <f>IF(tblLines[[#This Row],[Qty (Packs)]]="","",tblLines[[#This Row],[Qty (Packs)]]*tblLines[[#This Row],[Pack Wt (KG)]])</f>
      </c>
      <c r="O112" s="194"/>
      <c r="P112" s="194"/>
      <c r="Q112" s="194"/>
      <c r="R112" s="194"/>
    </row>
    <row r="113" ht="16.8" customHeight="1" spans="1:18" x14ac:dyDescent="0.25">
      <c r="A113" s="187"/>
      <c r="B113" s="188"/>
      <c r="C113" s="187"/>
      <c r="D113" s="187"/>
      <c r="E113" s="187"/>
      <c r="F113" s="187"/>
      <c r="G113" s="187"/>
      <c r="H113" s="189"/>
      <c r="I113" s="189"/>
      <c r="J113" s="190">
        <f>IFERROR(INDEX(Products!$E$4:$E$500,MATCH(tblLines[[#This Row],[Description (Product)]],Products!$B$4:$B$500,0)),"")</f>
      </c>
      <c r="K113" s="191">
        <f>IF(OR(tblLines[[#This Row],[Description (Product)]]="",tblLines[[#This Row],[Rate 40Kg]]=""),"",tblLines[[#This Row],[Rate 40Kg]]/40*tblLines[[#This Row],[Pack Wt (KG)]])</f>
      </c>
      <c r="L113" s="192">
        <f>IF(OR(tblLines[[#This Row],[Rate / Pack]]="",tblLines[[#This Row],[Qty (Packs)]]=""),"",ROUND(tblLines[[#This Row],[Rate / Pack]]*tblLines[[#This Row],[Qty (Packs)]],0))</f>
      </c>
      <c r="M113" s="193">
        <f>IF(tblLines[[#This Row],[Amount]]="","",tblLines[[#This Row],[Amount]]*IFERROR(INDEX(Products!$I$4:$I$500,MATCH(tblLines[[#This Row],[Description (Product)]],Products!$B$4:$B$500,0)),frmCommRate))</f>
      </c>
      <c r="N113" s="189">
        <f>IF(tblLines[[#This Row],[Qty (Packs)]]="","",tblLines[[#This Row],[Qty (Packs)]]*tblLines[[#This Row],[Pack Wt (KG)]])</f>
      </c>
      <c r="O113" s="194"/>
      <c r="P113" s="194"/>
      <c r="Q113" s="194"/>
      <c r="R113" s="194"/>
    </row>
    <row r="114" ht="16.8" customHeight="1" spans="1:18" x14ac:dyDescent="0.25">
      <c r="A114" s="187">
        <v>70</v>
      </c>
      <c r="B114" s="188">
        <v>46272</v>
      </c>
      <c r="C114" s="187" t="s">
        <v>139</v>
      </c>
      <c r="D114" s="187" t="s">
        <v>140</v>
      </c>
      <c r="E114" s="187" t="s">
        <v>126</v>
      </c>
      <c r="F114" s="187" t="s">
        <v>127</v>
      </c>
      <c r="G114" s="187" t="s">
        <v>28</v>
      </c>
      <c r="H114" s="189">
        <v>30</v>
      </c>
      <c r="I114" s="189">
        <v>16250</v>
      </c>
      <c r="J114" s="190">
        <f>IFERROR(INDEX(Products!$E$4:$E$500,MATCH(tblLines[[#This Row],[Description (Product)]],Products!$B$4:$B$500,0)),"")</f>
        <v>25</v>
      </c>
      <c r="K114" s="191">
        <f>IF(OR(tblLines[[#This Row],[Description (Product)]]="",tblLines[[#This Row],[Rate 40Kg]]=""),"",tblLines[[#This Row],[Rate 40Kg]]/40*tblLines[[#This Row],[Pack Wt (KG)]])</f>
        <v>10156.25</v>
      </c>
      <c r="L114" s="192">
        <f>IF(OR(tblLines[[#This Row],[Rate / Pack]]="",tblLines[[#This Row],[Qty (Packs)]]=""),"",ROUND(tblLines[[#This Row],[Rate / Pack]]*tblLines[[#This Row],[Qty (Packs)]],0))</f>
        <v>304688</v>
      </c>
      <c r="M114" s="193">
        <f>IF(tblLines[[#This Row],[Amount]]="","",tblLines[[#This Row],[Amount]]*IFERROR(INDEX(Products!$I$4:$I$500,MATCH(tblLines[[#This Row],[Description (Product)]],Products!$B$4:$B$500,0)),frmCommRate))</f>
        <v>1066.4080000000001</v>
      </c>
      <c r="N114" s="189">
        <f>IF(tblLines[[#This Row],[Qty (Packs)]]="","",tblLines[[#This Row],[Qty (Packs)]]*tblLines[[#This Row],[Pack Wt (KG)]])</f>
        <v>750</v>
      </c>
      <c r="O114" s="194"/>
      <c r="P114" s="194"/>
      <c r="Q114" s="194"/>
      <c r="R114" s="194"/>
    </row>
    <row r="115" ht="16.8" customHeight="1" spans="1:18" x14ac:dyDescent="0.25">
      <c r="A115" s="187">
        <v>70</v>
      </c>
      <c r="B115" s="188">
        <v>46272</v>
      </c>
      <c r="C115" s="187" t="s">
        <v>139</v>
      </c>
      <c r="D115" s="187" t="s">
        <v>140</v>
      </c>
      <c r="E115" s="187" t="s">
        <v>126</v>
      </c>
      <c r="F115" s="187" t="s">
        <v>127</v>
      </c>
      <c r="G115" s="187" t="s">
        <v>141</v>
      </c>
      <c r="H115" s="189">
        <v>70</v>
      </c>
      <c r="I115" s="189">
        <v>8350</v>
      </c>
      <c r="J115" s="190">
        <f>IFERROR(INDEX(Products!$E$4:$E$500,MATCH(tblLines[[#This Row],[Description (Product)]],Products!$B$4:$B$500,0)),"")</f>
        <v>25</v>
      </c>
      <c r="K115" s="191">
        <f>IF(OR(tblLines[[#This Row],[Description (Product)]]="",tblLines[[#This Row],[Rate 40Kg]]=""),"",tblLines[[#This Row],[Rate 40Kg]]/40*tblLines[[#This Row],[Pack Wt (KG)]])</f>
        <v>5218.75</v>
      </c>
      <c r="L115" s="192">
        <f>IF(OR(tblLines[[#This Row],[Rate / Pack]]="",tblLines[[#This Row],[Qty (Packs)]]=""),"",ROUND(tblLines[[#This Row],[Rate / Pack]]*tblLines[[#This Row],[Qty (Packs)]],0))</f>
        <v>365313</v>
      </c>
      <c r="M115" s="193">
        <f>IF(tblLines[[#This Row],[Amount]]="","",tblLines[[#This Row],[Amount]]*IFERROR(INDEX(Products!$I$4:$I$500,MATCH(tblLines[[#This Row],[Description (Product)]],Products!$B$4:$B$500,0)),frmCommRate))</f>
        <v>1278.5955000000001</v>
      </c>
      <c r="N115" s="189">
        <f>IF(tblLines[[#This Row],[Qty (Packs)]]="","",tblLines[[#This Row],[Qty (Packs)]]*tblLines[[#This Row],[Pack Wt (KG)]])</f>
        <v>1750</v>
      </c>
      <c r="O115" s="194"/>
      <c r="P115" s="194"/>
      <c r="Q115" s="194"/>
      <c r="R115" s="194"/>
    </row>
    <row r="116" ht="16.8" customHeight="1" spans="1:18" x14ac:dyDescent="0.25">
      <c r="A116" s="187">
        <v>70</v>
      </c>
      <c r="B116" s="188">
        <v>46272</v>
      </c>
      <c r="C116" s="187" t="s">
        <v>139</v>
      </c>
      <c r="D116" s="187" t="s">
        <v>140</v>
      </c>
      <c r="E116" s="187" t="s">
        <v>126</v>
      </c>
      <c r="F116" s="187" t="s">
        <v>127</v>
      </c>
      <c r="G116" s="187" t="s">
        <v>69</v>
      </c>
      <c r="H116" s="189">
        <v>60</v>
      </c>
      <c r="I116" s="189">
        <v>9100</v>
      </c>
      <c r="J116" s="190">
        <f>IFERROR(INDEX(Products!$E$4:$E$500,MATCH(tblLines[[#This Row],[Description (Product)]],Products!$B$4:$B$500,0)),"")</f>
        <v>25</v>
      </c>
      <c r="K116" s="191">
        <f>IF(OR(tblLines[[#This Row],[Description (Product)]]="",tblLines[[#This Row],[Rate 40Kg]]=""),"",tblLines[[#This Row],[Rate 40Kg]]/40*tblLines[[#This Row],[Pack Wt (KG)]])</f>
        <v>5687.5</v>
      </c>
      <c r="L116" s="192">
        <f>IF(OR(tblLines[[#This Row],[Rate / Pack]]="",tblLines[[#This Row],[Qty (Packs)]]=""),"",ROUND(tblLines[[#This Row],[Rate / Pack]]*tblLines[[#This Row],[Qty (Packs)]],0))</f>
        <v>341250</v>
      </c>
      <c r="M116" s="193">
        <f>IF(tblLines[[#This Row],[Amount]]="","",tblLines[[#This Row],[Amount]]*IFERROR(INDEX(Products!$I$4:$I$500,MATCH(tblLines[[#This Row],[Description (Product)]],Products!$B$4:$B$500,0)),frmCommRate))</f>
        <v>1194.375</v>
      </c>
      <c r="N116" s="189">
        <f>IF(tblLines[[#This Row],[Qty (Packs)]]="","",tblLines[[#This Row],[Qty (Packs)]]*tblLines[[#This Row],[Pack Wt (KG)]])</f>
        <v>1500</v>
      </c>
      <c r="O116" s="194"/>
      <c r="P116" s="194"/>
      <c r="Q116" s="194"/>
      <c r="R116" s="194"/>
    </row>
    <row r="117" ht="16.8" customHeight="1" spans="1:18" x14ac:dyDescent="0.25">
      <c r="A117" s="187">
        <v>70</v>
      </c>
      <c r="B117" s="188">
        <v>46272</v>
      </c>
      <c r="C117" s="187" t="s">
        <v>139</v>
      </c>
      <c r="D117" s="187" t="s">
        <v>140</v>
      </c>
      <c r="E117" s="187" t="s">
        <v>126</v>
      </c>
      <c r="F117" s="187" t="s">
        <v>127</v>
      </c>
      <c r="G117" s="187" t="s">
        <v>30</v>
      </c>
      <c r="H117" s="189">
        <v>40</v>
      </c>
      <c r="I117" s="189">
        <v>8500</v>
      </c>
      <c r="J117" s="190">
        <f>IFERROR(INDEX(Products!$E$4:$E$500,MATCH(tblLines[[#This Row],[Description (Product)]],Products!$B$4:$B$500,0)),"")</f>
        <v>25</v>
      </c>
      <c r="K117" s="191">
        <f>IF(OR(tblLines[[#This Row],[Description (Product)]]="",tblLines[[#This Row],[Rate 40Kg]]=""),"",tblLines[[#This Row],[Rate 40Kg]]/40*tblLines[[#This Row],[Pack Wt (KG)]])</f>
        <v>5312.5</v>
      </c>
      <c r="L117" s="192">
        <f>IF(OR(tblLines[[#This Row],[Rate / Pack]]="",tblLines[[#This Row],[Qty (Packs)]]=""),"",ROUND(tblLines[[#This Row],[Rate / Pack]]*tblLines[[#This Row],[Qty (Packs)]],0))</f>
        <v>212500</v>
      </c>
      <c r="M117" s="193">
        <f>IF(tblLines[[#This Row],[Amount]]="","",tblLines[[#This Row],[Amount]]*IFERROR(INDEX(Products!$I$4:$I$500,MATCH(tblLines[[#This Row],[Description (Product)]],Products!$B$4:$B$500,0)),frmCommRate))</f>
        <v>743.75</v>
      </c>
      <c r="N117" s="189">
        <f>IF(tblLines[[#This Row],[Qty (Packs)]]="","",tblLines[[#This Row],[Qty (Packs)]]*tblLines[[#This Row],[Pack Wt (KG)]])</f>
        <v>1000</v>
      </c>
      <c r="O117" s="194"/>
      <c r="P117" s="194"/>
      <c r="Q117" s="194"/>
      <c r="R117" s="194"/>
    </row>
    <row r="118" ht="16.8" customHeight="1" spans="1:18" x14ac:dyDescent="0.25">
      <c r="A118" s="187">
        <v>70</v>
      </c>
      <c r="B118" s="188">
        <v>46272</v>
      </c>
      <c r="C118" s="187" t="s">
        <v>139</v>
      </c>
      <c r="D118" s="187" t="s">
        <v>140</v>
      </c>
      <c r="E118" s="187" t="s">
        <v>126</v>
      </c>
      <c r="F118" s="187" t="s">
        <v>127</v>
      </c>
      <c r="G118" s="187" t="s">
        <v>31</v>
      </c>
      <c r="H118" s="189">
        <v>20</v>
      </c>
      <c r="I118" s="189">
        <v>10050</v>
      </c>
      <c r="J118" s="190">
        <f>IFERROR(INDEX(Products!$E$4:$E$500,MATCH(tblLines[[#This Row],[Description (Product)]],Products!$B$4:$B$500,0)),"")</f>
        <v>25</v>
      </c>
      <c r="K118" s="191">
        <f>IF(OR(tblLines[[#This Row],[Description (Product)]]="",tblLines[[#This Row],[Rate 40Kg]]=""),"",tblLines[[#This Row],[Rate 40Kg]]/40*tblLines[[#This Row],[Pack Wt (KG)]])</f>
        <v>6281.25</v>
      </c>
      <c r="L118" s="192">
        <f>IF(OR(tblLines[[#This Row],[Rate / Pack]]="",tblLines[[#This Row],[Qty (Packs)]]=""),"",ROUND(tblLines[[#This Row],[Rate / Pack]]*tblLines[[#This Row],[Qty (Packs)]],0))</f>
        <v>125625</v>
      </c>
      <c r="M118" s="193">
        <f>IF(tblLines[[#This Row],[Amount]]="","",tblLines[[#This Row],[Amount]]*IFERROR(INDEX(Products!$I$4:$I$500,MATCH(tblLines[[#This Row],[Description (Product)]],Products!$B$4:$B$500,0)),frmCommRate))</f>
        <v>439.6875</v>
      </c>
      <c r="N118" s="189">
        <f>IF(tblLines[[#This Row],[Qty (Packs)]]="","",tblLines[[#This Row],[Qty (Packs)]]*tblLines[[#This Row],[Pack Wt (KG)]])</f>
        <v>500</v>
      </c>
      <c r="O118" s="194"/>
      <c r="P118" s="194"/>
      <c r="Q118" s="194"/>
      <c r="R118" s="194"/>
    </row>
    <row r="119" ht="16.8" customHeight="1" spans="1:18" x14ac:dyDescent="0.25">
      <c r="A119" s="187"/>
      <c r="B119" s="188"/>
      <c r="C119" s="187"/>
      <c r="D119" s="187"/>
      <c r="E119" s="187"/>
      <c r="F119" s="187"/>
      <c r="G119" s="187"/>
      <c r="H119" s="189"/>
      <c r="I119" s="189"/>
      <c r="J119" s="190">
        <f>IFERROR(INDEX(Products!$E$4:$E$500,MATCH(tblLines[[#This Row],[Description (Product)]],Products!$B$4:$B$500,0)),"")</f>
      </c>
      <c r="K119" s="191">
        <f>IF(OR(tblLines[[#This Row],[Description (Product)]]="",tblLines[[#This Row],[Rate 40Kg]]=""),"",tblLines[[#This Row],[Rate 40Kg]]/40*tblLines[[#This Row],[Pack Wt (KG)]])</f>
      </c>
      <c r="L119" s="192">
        <f>IF(OR(tblLines[[#This Row],[Rate / Pack]]="",tblLines[[#This Row],[Qty (Packs)]]=""),"",ROUND(tblLines[[#This Row],[Rate / Pack]]*tblLines[[#This Row],[Qty (Packs)]],0))</f>
      </c>
      <c r="M119" s="193">
        <f>IF(tblLines[[#This Row],[Amount]]="","",tblLines[[#This Row],[Amount]]*IFERROR(INDEX(Products!$I$4:$I$500,MATCH(tblLines[[#This Row],[Description (Product)]],Products!$B$4:$B$500,0)),frmCommRate))</f>
      </c>
      <c r="N119" s="189">
        <f>IF(tblLines[[#This Row],[Qty (Packs)]]="","",tblLines[[#This Row],[Qty (Packs)]]*tblLines[[#This Row],[Pack Wt (KG)]])</f>
      </c>
      <c r="O119" s="194"/>
      <c r="P119" s="194"/>
      <c r="Q119" s="194"/>
      <c r="R119" s="194"/>
    </row>
    <row r="120" ht="16.8" customHeight="1" spans="1:18" x14ac:dyDescent="0.25">
      <c r="A120" s="187">
        <v>91</v>
      </c>
      <c r="B120" s="188">
        <v>46273</v>
      </c>
      <c r="C120" s="187" t="s">
        <v>139</v>
      </c>
      <c r="D120" s="187" t="s">
        <v>142</v>
      </c>
      <c r="E120" s="187" t="s">
        <v>126</v>
      </c>
      <c r="F120" s="187" t="s">
        <v>127</v>
      </c>
      <c r="G120" s="187" t="s">
        <v>82</v>
      </c>
      <c r="H120" s="189">
        <v>150</v>
      </c>
      <c r="I120" s="189">
        <v>13300</v>
      </c>
      <c r="J120" s="190">
        <f>IFERROR(INDEX(Products!$E$4:$E$500,MATCH(tblLines[[#This Row],[Description (Product)]],Products!$B$4:$B$500,0)),"")</f>
        <v>25</v>
      </c>
      <c r="K120" s="191">
        <f>IF(OR(tblLines[[#This Row],[Description (Product)]]="",tblLines[[#This Row],[Rate 40Kg]]=""),"",tblLines[[#This Row],[Rate 40Kg]]/40*tblLines[[#This Row],[Pack Wt (KG)]])</f>
        <v>8312.5</v>
      </c>
      <c r="L120" s="192">
        <f>IF(OR(tblLines[[#This Row],[Rate / Pack]]="",tblLines[[#This Row],[Qty (Packs)]]=""),"",ROUND(tblLines[[#This Row],[Rate / Pack]]*tblLines[[#This Row],[Qty (Packs)]],0))</f>
        <v>1246875</v>
      </c>
      <c r="M120" s="193">
        <f>IF(tblLines[[#This Row],[Amount]]="","",tblLines[[#This Row],[Amount]]*IFERROR(INDEX(Products!$I$4:$I$500,MATCH(tblLines[[#This Row],[Description (Product)]],Products!$B$4:$B$500,0)),frmCommRate))</f>
        <v>4364.0625</v>
      </c>
      <c r="N120" s="189">
        <f>IF(tblLines[[#This Row],[Qty (Packs)]]="","",tblLines[[#This Row],[Qty (Packs)]]*tblLines[[#This Row],[Pack Wt (KG)]])</f>
        <v>3750</v>
      </c>
      <c r="O120" s="194"/>
      <c r="P120" s="194"/>
      <c r="Q120" s="194"/>
      <c r="R120" s="194"/>
    </row>
    <row r="121" ht="16.8" customHeight="1" spans="1:18" x14ac:dyDescent="0.25">
      <c r="A121" s="187"/>
      <c r="B121" s="188"/>
      <c r="C121" s="187"/>
      <c r="D121" s="187"/>
      <c r="E121" s="187"/>
      <c r="F121" s="187"/>
      <c r="G121" s="187"/>
      <c r="H121" s="189"/>
      <c r="I121" s="189"/>
      <c r="J121" s="190">
        <f>IFERROR(INDEX(Products!$E$4:$E$500,MATCH(tblLines[[#This Row],[Description (Product)]],Products!$B$4:$B$500,0)),"")</f>
      </c>
      <c r="K121" s="191">
        <f>IF(OR(tblLines[[#This Row],[Description (Product)]]="",tblLines[[#This Row],[Rate 40Kg]]=""),"",tblLines[[#This Row],[Rate 40Kg]]/40*tblLines[[#This Row],[Pack Wt (KG)]])</f>
      </c>
      <c r="L121" s="192">
        <f>IF(OR(tblLines[[#This Row],[Rate / Pack]]="",tblLines[[#This Row],[Qty (Packs)]]=""),"",ROUND(tblLines[[#This Row],[Rate / Pack]]*tblLines[[#This Row],[Qty (Packs)]],0))</f>
      </c>
      <c r="M121" s="193">
        <f>IF(tblLines[[#This Row],[Amount]]="","",tblLines[[#This Row],[Amount]]*IFERROR(INDEX(Products!$I$4:$I$500,MATCH(tblLines[[#This Row],[Description (Product)]],Products!$B$4:$B$500,0)),frmCommRate))</f>
      </c>
      <c r="N121" s="189">
        <f>IF(tblLines[[#This Row],[Qty (Packs)]]="","",tblLines[[#This Row],[Qty (Packs)]]*tblLines[[#This Row],[Pack Wt (KG)]])</f>
      </c>
      <c r="O121" s="194"/>
      <c r="P121" s="194"/>
      <c r="Q121" s="194"/>
      <c r="R121" s="194"/>
    </row>
    <row r="122" ht="16.8" customHeight="1" spans="1:18" x14ac:dyDescent="0.25">
      <c r="A122" s="187"/>
      <c r="B122" s="188"/>
      <c r="C122" s="187"/>
      <c r="D122" s="187"/>
      <c r="E122" s="187"/>
      <c r="F122" s="187"/>
      <c r="G122" s="187"/>
      <c r="H122" s="189"/>
      <c r="I122" s="189"/>
      <c r="J122" s="190">
        <f>IFERROR(INDEX(Products!$E$4:$E$500,MATCH(tblLines[[#This Row],[Description (Product)]],Products!$B$4:$B$500,0)),"")</f>
      </c>
      <c r="K122" s="191">
        <f>IF(OR(tblLines[[#This Row],[Description (Product)]]="",tblLines[[#This Row],[Rate 40Kg]]=""),"",tblLines[[#This Row],[Rate 40Kg]]/40*tblLines[[#This Row],[Pack Wt (KG)]])</f>
      </c>
      <c r="L122" s="192">
        <f>IF(OR(tblLines[[#This Row],[Rate / Pack]]="",tblLines[[#This Row],[Qty (Packs)]]=""),"",ROUND(tblLines[[#This Row],[Rate / Pack]]*tblLines[[#This Row],[Qty (Packs)]],0))</f>
      </c>
      <c r="M122" s="193">
        <f>IF(tblLines[[#This Row],[Amount]]="","",tblLines[[#This Row],[Amount]]*IFERROR(INDEX(Products!$I$4:$I$500,MATCH(tblLines[[#This Row],[Description (Product)]],Products!$B$4:$B$500,0)),frmCommRate))</f>
      </c>
      <c r="N122" s="189">
        <f>IF(tblLines[[#This Row],[Qty (Packs)]]="","",tblLines[[#This Row],[Qty (Packs)]]*tblLines[[#This Row],[Pack Wt (KG)]])</f>
      </c>
      <c r="O122" s="194"/>
      <c r="P122" s="194"/>
      <c r="Q122" s="194"/>
      <c r="R122" s="194"/>
    </row>
    <row r="123" ht="16.8" customHeight="1" spans="1:18" x14ac:dyDescent="0.25">
      <c r="A123" s="187"/>
      <c r="B123" s="188"/>
      <c r="C123" s="187"/>
      <c r="D123" s="187"/>
      <c r="E123" s="187"/>
      <c r="F123" s="187"/>
      <c r="G123" s="187"/>
      <c r="H123" s="189"/>
      <c r="I123" s="189"/>
      <c r="J123" s="190">
        <f>IFERROR(INDEX(Products!$E$4:$E$500,MATCH(tblLines[[#This Row],[Description (Product)]],Products!$B$4:$B$500,0)),"")</f>
      </c>
      <c r="K123" s="191">
        <f>IF(OR(tblLines[[#This Row],[Description (Product)]]="",tblLines[[#This Row],[Rate 40Kg]]=""),"",tblLines[[#This Row],[Rate 40Kg]]/40*tblLines[[#This Row],[Pack Wt (KG)]])</f>
      </c>
      <c r="L123" s="192">
        <f>IF(OR(tblLines[[#This Row],[Rate / Pack]]="",tblLines[[#This Row],[Qty (Packs)]]=""),"",ROUND(tblLines[[#This Row],[Rate / Pack]]*tblLines[[#This Row],[Qty (Packs)]],0))</f>
      </c>
      <c r="M123" s="193">
        <f>IF(tblLines[[#This Row],[Amount]]="","",tblLines[[#This Row],[Amount]]*IFERROR(INDEX(Products!$I$4:$I$500,MATCH(tblLines[[#This Row],[Description (Product)]],Products!$B$4:$B$500,0)),frmCommRate))</f>
      </c>
      <c r="N123" s="189">
        <f>IF(tblLines[[#This Row],[Qty (Packs)]]="","",tblLines[[#This Row],[Qty (Packs)]]*tblLines[[#This Row],[Pack Wt (KG)]])</f>
      </c>
      <c r="O123" s="194"/>
      <c r="P123" s="194"/>
      <c r="Q123" s="194"/>
      <c r="R123" s="194"/>
    </row>
    <row r="124" ht="16.8" customHeight="1" spans="1:18" x14ac:dyDescent="0.25">
      <c r="A124" s="187"/>
      <c r="B124" s="188"/>
      <c r="C124" s="187"/>
      <c r="D124" s="187"/>
      <c r="E124" s="187"/>
      <c r="F124" s="187"/>
      <c r="G124" s="187"/>
      <c r="H124" s="189"/>
      <c r="I124" s="189"/>
      <c r="J124" s="190">
        <f>IFERROR(INDEX(Products!$E$4:$E$500,MATCH(tblLines[[#This Row],[Description (Product)]],Products!$B$4:$B$500,0)),"")</f>
      </c>
      <c r="K124" s="191">
        <f>IF(OR(tblLines[[#This Row],[Description (Product)]]="",tblLines[[#This Row],[Rate 40Kg]]=""),"",tblLines[[#This Row],[Rate 40Kg]]/40*tblLines[[#This Row],[Pack Wt (KG)]])</f>
      </c>
      <c r="L124" s="192">
        <f>IF(OR(tblLines[[#This Row],[Rate / Pack]]="",tblLines[[#This Row],[Qty (Packs)]]=""),"",ROUND(tblLines[[#This Row],[Rate / Pack]]*tblLines[[#This Row],[Qty (Packs)]],0))</f>
      </c>
      <c r="M124" s="193">
        <f>IF(tblLines[[#This Row],[Amount]]="","",tblLines[[#This Row],[Amount]]*IFERROR(INDEX(Products!$I$4:$I$500,MATCH(tblLines[[#This Row],[Description (Product)]],Products!$B$4:$B$500,0)),frmCommRate))</f>
      </c>
      <c r="N124" s="189">
        <f>IF(tblLines[[#This Row],[Qty (Packs)]]="","",tblLines[[#This Row],[Qty (Packs)]]*tblLines[[#This Row],[Pack Wt (KG)]])</f>
      </c>
      <c r="O124" s="194"/>
      <c r="P124" s="194"/>
      <c r="Q124" s="194"/>
      <c r="R124" s="194"/>
    </row>
    <row r="125" ht="16.8" customHeight="1" spans="1:18" x14ac:dyDescent="0.25">
      <c r="A125" s="187">
        <v>92</v>
      </c>
      <c r="B125" s="188">
        <v>46273</v>
      </c>
      <c r="C125" s="187" t="s">
        <v>139</v>
      </c>
      <c r="D125" s="187" t="s">
        <v>143</v>
      </c>
      <c r="E125" s="187" t="s">
        <v>126</v>
      </c>
      <c r="F125" s="187" t="s">
        <v>127</v>
      </c>
      <c r="G125" s="187" t="s">
        <v>80</v>
      </c>
      <c r="H125" s="189">
        <v>10</v>
      </c>
      <c r="I125" s="189">
        <v>14200</v>
      </c>
      <c r="J125" s="190">
        <f>IFERROR(INDEX(Products!$E$4:$E$500,MATCH(tblLines[[#This Row],[Description (Product)]],Products!$B$4:$B$500,0)),"")</f>
        <v>20</v>
      </c>
      <c r="K125" s="191">
        <f>IF(OR(tblLines[[#This Row],[Description (Product)]]="",tblLines[[#This Row],[Rate 40Kg]]=""),"",tblLines[[#This Row],[Rate 40Kg]]/40*tblLines[[#This Row],[Pack Wt (KG)]])</f>
        <v>7100</v>
      </c>
      <c r="L125" s="192">
        <f>IF(OR(tblLines[[#This Row],[Rate / Pack]]="",tblLines[[#This Row],[Qty (Packs)]]=""),"",ROUND(tblLines[[#This Row],[Rate / Pack]]*tblLines[[#This Row],[Qty (Packs)]],0))</f>
        <v>71000</v>
      </c>
      <c r="M125" s="193">
        <f>IF(tblLines[[#This Row],[Amount]]="","",tblLines[[#This Row],[Amount]]*IFERROR(INDEX(Products!$I$4:$I$500,MATCH(tblLines[[#This Row],[Description (Product)]],Products!$B$4:$B$500,0)),frmCommRate))</f>
        <v>248.5</v>
      </c>
      <c r="N125" s="189">
        <f>IF(tblLines[[#This Row],[Qty (Packs)]]="","",tblLines[[#This Row],[Qty (Packs)]]*tblLines[[#This Row],[Pack Wt (KG)]])</f>
        <v>200</v>
      </c>
      <c r="O125" s="194"/>
      <c r="P125" s="194"/>
      <c r="Q125" s="194"/>
      <c r="R125" s="194"/>
    </row>
    <row r="126" ht="16.8" customHeight="1" spans="1:18" x14ac:dyDescent="0.25">
      <c r="A126" s="187">
        <v>92</v>
      </c>
      <c r="B126" s="188">
        <v>46273</v>
      </c>
      <c r="C126" s="187" t="s">
        <v>139</v>
      </c>
      <c r="D126" s="187" t="s">
        <v>143</v>
      </c>
      <c r="E126" s="187" t="s">
        <v>126</v>
      </c>
      <c r="F126" s="187" t="s">
        <v>127</v>
      </c>
      <c r="G126" s="187" t="s">
        <v>82</v>
      </c>
      <c r="H126" s="189">
        <v>490</v>
      </c>
      <c r="I126" s="189">
        <v>13500</v>
      </c>
      <c r="J126" s="190">
        <f>IFERROR(INDEX(Products!$E$4:$E$500,MATCH(tblLines[[#This Row],[Description (Product)]],Products!$B$4:$B$500,0)),"")</f>
        <v>25</v>
      </c>
      <c r="K126" s="191">
        <f>IF(OR(tblLines[[#This Row],[Description (Product)]]="",tblLines[[#This Row],[Rate 40Kg]]=""),"",tblLines[[#This Row],[Rate 40Kg]]/40*tblLines[[#This Row],[Pack Wt (KG)]])</f>
        <v>8437.5</v>
      </c>
      <c r="L126" s="192">
        <f>IF(OR(tblLines[[#This Row],[Rate / Pack]]="",tblLines[[#This Row],[Qty (Packs)]]=""),"",ROUND(tblLines[[#This Row],[Rate / Pack]]*tblLines[[#This Row],[Qty (Packs)]],0))</f>
        <v>4134375</v>
      </c>
      <c r="M126" s="193">
        <f>IF(tblLines[[#This Row],[Amount]]="","",tblLines[[#This Row],[Amount]]*IFERROR(INDEX(Products!$I$4:$I$500,MATCH(tblLines[[#This Row],[Description (Product)]],Products!$B$4:$B$500,0)),frmCommRate))</f>
        <v>14470.3125</v>
      </c>
      <c r="N126" s="189">
        <f>IF(tblLines[[#This Row],[Qty (Packs)]]="","",tblLines[[#This Row],[Qty (Packs)]]*tblLines[[#This Row],[Pack Wt (KG)]])</f>
        <v>12250</v>
      </c>
      <c r="O126" s="194"/>
      <c r="P126" s="194"/>
      <c r="Q126" s="194"/>
      <c r="R126" s="194"/>
    </row>
    <row r="127" ht="16.8" customHeight="1" spans="1:18" x14ac:dyDescent="0.25">
      <c r="A127" s="187">
        <v>92</v>
      </c>
      <c r="B127" s="188">
        <v>46273</v>
      </c>
      <c r="C127" s="187" t="s">
        <v>139</v>
      </c>
      <c r="D127" s="187" t="s">
        <v>143</v>
      </c>
      <c r="E127" s="187" t="s">
        <v>126</v>
      </c>
      <c r="F127" s="187" t="s">
        <v>127</v>
      </c>
      <c r="G127" s="187" t="s">
        <v>83</v>
      </c>
      <c r="H127" s="189">
        <v>30</v>
      </c>
      <c r="I127" s="189">
        <v>14000</v>
      </c>
      <c r="J127" s="190">
        <f>IFERROR(INDEX(Products!$E$4:$E$500,MATCH(tblLines[[#This Row],[Description (Product)]],Products!$B$4:$B$500,0)),"")</f>
        <v>40</v>
      </c>
      <c r="K127" s="191">
        <f>IF(OR(tblLines[[#This Row],[Description (Product)]]="",tblLines[[#This Row],[Rate 40Kg]]=""),"",tblLines[[#This Row],[Rate 40Kg]]/40*tblLines[[#This Row],[Pack Wt (KG)]])</f>
        <v>14000</v>
      </c>
      <c r="L127" s="192">
        <f>IF(OR(tblLines[[#This Row],[Rate / Pack]]="",tblLines[[#This Row],[Qty (Packs)]]=""),"",ROUND(tblLines[[#This Row],[Rate / Pack]]*tblLines[[#This Row],[Qty (Packs)]],0))</f>
        <v>420000</v>
      </c>
      <c r="M127" s="193">
        <f>IF(tblLines[[#This Row],[Amount]]="","",tblLines[[#This Row],[Amount]]*IFERROR(INDEX(Products!$I$4:$I$500,MATCH(tblLines[[#This Row],[Description (Product)]],Products!$B$4:$B$500,0)),frmCommRate))</f>
        <v>1470</v>
      </c>
      <c r="N127" s="189">
        <f>IF(tblLines[[#This Row],[Qty (Packs)]]="","",tblLines[[#This Row],[Qty (Packs)]]*tblLines[[#This Row],[Pack Wt (KG)]])</f>
        <v>1200</v>
      </c>
      <c r="O127" s="194"/>
      <c r="P127" s="194"/>
      <c r="Q127" s="194"/>
      <c r="R127" s="194"/>
    </row>
    <row r="128" ht="16.8" customHeight="1" spans="1:18" x14ac:dyDescent="0.25">
      <c r="A128" s="187">
        <v>92</v>
      </c>
      <c r="B128" s="188">
        <v>46273</v>
      </c>
      <c r="C128" s="187" t="s">
        <v>139</v>
      </c>
      <c r="D128" s="187" t="s">
        <v>143</v>
      </c>
      <c r="E128" s="187" t="s">
        <v>126</v>
      </c>
      <c r="F128" s="187" t="s">
        <v>127</v>
      </c>
      <c r="G128" s="187" t="s">
        <v>72</v>
      </c>
      <c r="H128" s="189">
        <v>110</v>
      </c>
      <c r="I128" s="189">
        <v>12150</v>
      </c>
      <c r="J128" s="190">
        <f>IFERROR(INDEX(Products!$E$4:$E$500,MATCH(tblLines[[#This Row],[Description (Product)]],Products!$B$4:$B$500,0)),"")</f>
        <v>25</v>
      </c>
      <c r="K128" s="191">
        <f>IF(OR(tblLines[[#This Row],[Description (Product)]]="",tblLines[[#This Row],[Rate 40Kg]]=""),"",tblLines[[#This Row],[Rate 40Kg]]/40*tblLines[[#This Row],[Pack Wt (KG)]])</f>
        <v>7593.75</v>
      </c>
      <c r="L128" s="192">
        <f>IF(OR(tblLines[[#This Row],[Rate / Pack]]="",tblLines[[#This Row],[Qty (Packs)]]=""),"",ROUND(tblLines[[#This Row],[Rate / Pack]]*tblLines[[#This Row],[Qty (Packs)]],0))</f>
        <v>835313</v>
      </c>
      <c r="M128" s="193">
        <f>IF(tblLines[[#This Row],[Amount]]="","",tblLines[[#This Row],[Amount]]*IFERROR(INDEX(Products!$I$4:$I$500,MATCH(tblLines[[#This Row],[Description (Product)]],Products!$B$4:$B$500,0)),frmCommRate))</f>
        <v>2923.5955</v>
      </c>
      <c r="N128" s="189">
        <f>IF(tblLines[[#This Row],[Qty (Packs)]]="","",tblLines[[#This Row],[Qty (Packs)]]*tblLines[[#This Row],[Pack Wt (KG)]])</f>
        <v>2750</v>
      </c>
      <c r="O128" s="194"/>
      <c r="P128" s="194"/>
      <c r="Q128" s="194"/>
      <c r="R128" s="194"/>
    </row>
    <row r="129" ht="16.8" customHeight="1" spans="1:18" x14ac:dyDescent="0.25">
      <c r="A129" s="187"/>
      <c r="B129" s="188"/>
      <c r="C129" s="187"/>
      <c r="D129" s="187"/>
      <c r="E129" s="187"/>
      <c r="F129" s="187"/>
      <c r="G129" s="187"/>
      <c r="H129" s="189"/>
      <c r="I129" s="189"/>
      <c r="J129" s="190">
        <f>IFERROR(INDEX(Products!$E$4:$E$500,MATCH(tblLines[[#This Row],[Description (Product)]],Products!$B$4:$B$500,0)),"")</f>
      </c>
      <c r="K129" s="191">
        <f>IF(OR(tblLines[[#This Row],[Description (Product)]]="",tblLines[[#This Row],[Rate 40Kg]]=""),"",tblLines[[#This Row],[Rate 40Kg]]/40*tblLines[[#This Row],[Pack Wt (KG)]])</f>
      </c>
      <c r="L129" s="192">
        <f>IF(OR(tblLines[[#This Row],[Rate / Pack]]="",tblLines[[#This Row],[Qty (Packs)]]=""),"",ROUND(tblLines[[#This Row],[Rate / Pack]]*tblLines[[#This Row],[Qty (Packs)]],0))</f>
      </c>
      <c r="M129" s="193">
        <f>IF(tblLines[[#This Row],[Amount]]="","",tblLines[[#This Row],[Amount]]*IFERROR(INDEX(Products!$I$4:$I$500,MATCH(tblLines[[#This Row],[Description (Product)]],Products!$B$4:$B$500,0)),frmCommRate))</f>
      </c>
      <c r="N129" s="189">
        <f>IF(tblLines[[#This Row],[Qty (Packs)]]="","",tblLines[[#This Row],[Qty (Packs)]]*tblLines[[#This Row],[Pack Wt (KG)]])</f>
      </c>
      <c r="O129" s="194"/>
      <c r="P129" s="194"/>
      <c r="Q129" s="194"/>
      <c r="R129" s="194"/>
    </row>
    <row r="130" ht="16.8" customHeight="1" spans="1:18" x14ac:dyDescent="0.25">
      <c r="A130" s="187"/>
      <c r="B130" s="188"/>
      <c r="C130" s="187"/>
      <c r="D130" s="187"/>
      <c r="E130" s="187"/>
      <c r="F130" s="187"/>
      <c r="G130" s="187"/>
      <c r="H130" s="189"/>
      <c r="I130" s="189"/>
      <c r="J130" s="190">
        <f>IFERROR(INDEX(Products!$E$4:$E$500,MATCH(tblLines[[#This Row],[Description (Product)]],Products!$B$4:$B$500,0)),"")</f>
      </c>
      <c r="K130" s="191">
        <f>IF(OR(tblLines[[#This Row],[Description (Product)]]="",tblLines[[#This Row],[Rate 40Kg]]=""),"",tblLines[[#This Row],[Rate 40Kg]]/40*tblLines[[#This Row],[Pack Wt (KG)]])</f>
      </c>
      <c r="L130" s="192">
        <f>IF(OR(tblLines[[#This Row],[Rate / Pack]]="",tblLines[[#This Row],[Qty (Packs)]]=""),"",ROUND(tblLines[[#This Row],[Rate / Pack]]*tblLines[[#This Row],[Qty (Packs)]],0))</f>
      </c>
      <c r="M130" s="193">
        <f>IF(tblLines[[#This Row],[Amount]]="","",tblLines[[#This Row],[Amount]]*IFERROR(INDEX(Products!$I$4:$I$500,MATCH(tblLines[[#This Row],[Description (Product)]],Products!$B$4:$B$500,0)),frmCommRate))</f>
      </c>
      <c r="N130" s="189">
        <f>IF(tblLines[[#This Row],[Qty (Packs)]]="","",tblLines[[#This Row],[Qty (Packs)]]*tblLines[[#This Row],[Pack Wt (KG)]])</f>
      </c>
      <c r="O130" s="194"/>
      <c r="P130" s="194"/>
      <c r="Q130" s="194"/>
      <c r="R130" s="194"/>
    </row>
    <row r="131" ht="16.8" customHeight="1" spans="1:18" x14ac:dyDescent="0.25">
      <c r="A131" s="187"/>
      <c r="B131" s="188"/>
      <c r="C131" s="187"/>
      <c r="D131" s="187"/>
      <c r="E131" s="187"/>
      <c r="F131" s="187"/>
      <c r="G131" s="187"/>
      <c r="H131" s="189"/>
      <c r="I131" s="189"/>
      <c r="J131" s="190">
        <f>IFERROR(INDEX(Products!$E$4:$E$500,MATCH(tblLines[[#This Row],[Description (Product)]],Products!$B$4:$B$500,0)),"")</f>
      </c>
      <c r="K131" s="191">
        <f>IF(OR(tblLines[[#This Row],[Description (Product)]]="",tblLines[[#This Row],[Rate 40Kg]]=""),"",tblLines[[#This Row],[Rate 40Kg]]/40*tblLines[[#This Row],[Pack Wt (KG)]])</f>
      </c>
      <c r="L131" s="192">
        <f>IF(OR(tblLines[[#This Row],[Rate / Pack]]="",tblLines[[#This Row],[Qty (Packs)]]=""),"",ROUND(tblLines[[#This Row],[Rate / Pack]]*tblLines[[#This Row],[Qty (Packs)]],0))</f>
      </c>
      <c r="M131" s="193">
        <f>IF(tblLines[[#This Row],[Amount]]="","",tblLines[[#This Row],[Amount]]*IFERROR(INDEX(Products!$I$4:$I$500,MATCH(tblLines[[#This Row],[Description (Product)]],Products!$B$4:$B$500,0)),frmCommRate))</f>
      </c>
      <c r="N131" s="189">
        <f>IF(tblLines[[#This Row],[Qty (Packs)]]="","",tblLines[[#This Row],[Qty (Packs)]]*tblLines[[#This Row],[Pack Wt (KG)]])</f>
      </c>
      <c r="O131" s="194"/>
      <c r="P131" s="194"/>
      <c r="Q131" s="194"/>
      <c r="R131" s="194"/>
    </row>
    <row r="132" ht="16.8" customHeight="1" spans="1:18" x14ac:dyDescent="0.25">
      <c r="A132" s="187"/>
      <c r="B132" s="188"/>
      <c r="C132" s="187"/>
      <c r="D132" s="187"/>
      <c r="E132" s="187"/>
      <c r="F132" s="187"/>
      <c r="G132" s="187"/>
      <c r="H132" s="189"/>
      <c r="I132" s="189"/>
      <c r="J132" s="190">
        <f>IFERROR(INDEX(Products!$E$4:$E$500,MATCH(tblLines[[#This Row],[Description (Product)]],Products!$B$4:$B$500,0)),"")</f>
      </c>
      <c r="K132" s="191">
        <f>IF(OR(tblLines[[#This Row],[Description (Product)]]="",tblLines[[#This Row],[Rate 40Kg]]=""),"",tblLines[[#This Row],[Rate 40Kg]]/40*tblLines[[#This Row],[Pack Wt (KG)]])</f>
      </c>
      <c r="L132" s="192">
        <f>IF(OR(tblLines[[#This Row],[Rate / Pack]]="",tblLines[[#This Row],[Qty (Packs)]]=""),"",ROUND(tblLines[[#This Row],[Rate / Pack]]*tblLines[[#This Row],[Qty (Packs)]],0))</f>
      </c>
      <c r="M132" s="193">
        <f>IF(tblLines[[#This Row],[Amount]]="","",tblLines[[#This Row],[Amount]]*IFERROR(INDEX(Products!$I$4:$I$500,MATCH(tblLines[[#This Row],[Description (Product)]],Products!$B$4:$B$500,0)),frmCommRate))</f>
      </c>
      <c r="N132" s="189">
        <f>IF(tblLines[[#This Row],[Qty (Packs)]]="","",tblLines[[#This Row],[Qty (Packs)]]*tblLines[[#This Row],[Pack Wt (KG)]])</f>
      </c>
      <c r="O132" s="194"/>
      <c r="P132" s="194"/>
      <c r="Q132" s="194"/>
      <c r="R132" s="194"/>
    </row>
    <row r="133" ht="16.8" customHeight="1" spans="1:18" x14ac:dyDescent="0.25">
      <c r="A133" s="187"/>
      <c r="B133" s="188"/>
      <c r="C133" s="187"/>
      <c r="D133" s="187"/>
      <c r="E133" s="187"/>
      <c r="F133" s="187"/>
      <c r="G133" s="187"/>
      <c r="H133" s="189"/>
      <c r="I133" s="189"/>
      <c r="J133" s="190">
        <f>IFERROR(INDEX(Products!$E$4:$E$500,MATCH(tblLines[[#This Row],[Description (Product)]],Products!$B$4:$B$500,0)),"")</f>
      </c>
      <c r="K133" s="191">
        <f>IF(OR(tblLines[[#This Row],[Description (Product)]]="",tblLines[[#This Row],[Rate 40Kg]]=""),"",tblLines[[#This Row],[Rate 40Kg]]/40*tblLines[[#This Row],[Pack Wt (KG)]])</f>
      </c>
      <c r="L133" s="192">
        <f>IF(OR(tblLines[[#This Row],[Rate / Pack]]="",tblLines[[#This Row],[Qty (Packs)]]=""),"",ROUND(tblLines[[#This Row],[Rate / Pack]]*tblLines[[#This Row],[Qty (Packs)]],0))</f>
      </c>
      <c r="M133" s="193">
        <f>IF(tblLines[[#This Row],[Amount]]="","",tblLines[[#This Row],[Amount]]*IFERROR(INDEX(Products!$I$4:$I$500,MATCH(tblLines[[#This Row],[Description (Product)]],Products!$B$4:$B$500,0)),frmCommRate))</f>
      </c>
      <c r="N133" s="189">
        <f>IF(tblLines[[#This Row],[Qty (Packs)]]="","",tblLines[[#This Row],[Qty (Packs)]]*tblLines[[#This Row],[Pack Wt (KG)]])</f>
      </c>
      <c r="O133" s="194"/>
      <c r="P133" s="194"/>
      <c r="Q133" s="194"/>
      <c r="R133" s="194"/>
    </row>
    <row r="134" ht="16.8" customHeight="1" spans="1:18" x14ac:dyDescent="0.25">
      <c r="A134" s="187">
        <v>109</v>
      </c>
      <c r="B134" s="188">
        <v>46274</v>
      </c>
      <c r="C134" s="187" t="s">
        <v>139</v>
      </c>
      <c r="D134" s="187" t="s">
        <v>144</v>
      </c>
      <c r="E134" s="187" t="s">
        <v>126</v>
      </c>
      <c r="F134" s="187" t="s">
        <v>127</v>
      </c>
      <c r="G134" s="187" t="s">
        <v>77</v>
      </c>
      <c r="H134" s="189">
        <v>50</v>
      </c>
      <c r="I134" s="189">
        <v>8300</v>
      </c>
      <c r="J134" s="190">
        <f>IFERROR(INDEX(Products!$E$4:$E$500,MATCH(tblLines[[#This Row],[Description (Product)]],Products!$B$4:$B$500,0)),"")</f>
        <v>25</v>
      </c>
      <c r="K134" s="191">
        <f>IF(OR(tblLines[[#This Row],[Description (Product)]]="",tblLines[[#This Row],[Rate 40Kg]]=""),"",tblLines[[#This Row],[Rate 40Kg]]/40*tblLines[[#This Row],[Pack Wt (KG)]])</f>
        <v>5187.5</v>
      </c>
      <c r="L134" s="192">
        <f>IF(OR(tblLines[[#This Row],[Rate / Pack]]="",tblLines[[#This Row],[Qty (Packs)]]=""),"",ROUND(tblLines[[#This Row],[Rate / Pack]]*tblLines[[#This Row],[Qty (Packs)]],0))</f>
        <v>259375</v>
      </c>
      <c r="M134" s="193">
        <f>IF(tblLines[[#This Row],[Amount]]="","",tblLines[[#This Row],[Amount]]*IFERROR(INDEX(Products!$I$4:$I$500,MATCH(tblLines[[#This Row],[Description (Product)]],Products!$B$4:$B$500,0)),frmCommRate))</f>
        <v>907.8125</v>
      </c>
      <c r="N134" s="189">
        <f>IF(tblLines[[#This Row],[Qty (Packs)]]="","",tblLines[[#This Row],[Qty (Packs)]]*tblLines[[#This Row],[Pack Wt (KG)]])</f>
        <v>1250</v>
      </c>
      <c r="O134" s="194"/>
      <c r="P134" s="194"/>
      <c r="Q134" s="194"/>
      <c r="R134" s="194"/>
    </row>
    <row r="135" ht="16.8" customHeight="1" spans="1:18" x14ac:dyDescent="0.25">
      <c r="A135" s="187">
        <v>109</v>
      </c>
      <c r="B135" s="188">
        <v>46274</v>
      </c>
      <c r="C135" s="187" t="s">
        <v>139</v>
      </c>
      <c r="D135" s="187" t="s">
        <v>144</v>
      </c>
      <c r="E135" s="187" t="s">
        <v>126</v>
      </c>
      <c r="F135" s="187" t="s">
        <v>127</v>
      </c>
      <c r="G135" s="187" t="s">
        <v>76</v>
      </c>
      <c r="H135" s="189">
        <v>86</v>
      </c>
      <c r="I135" s="189">
        <v>5900</v>
      </c>
      <c r="J135" s="190">
        <f>IFERROR(INDEX(Products!$E$4:$E$500,MATCH(tblLines[[#This Row],[Description (Product)]],Products!$B$4:$B$500,0)),"")</f>
        <v>25</v>
      </c>
      <c r="K135" s="191">
        <f>IF(OR(tblLines[[#This Row],[Description (Product)]]="",tblLines[[#This Row],[Rate 40Kg]]=""),"",tblLines[[#This Row],[Rate 40Kg]]/40*tblLines[[#This Row],[Pack Wt (KG)]])</f>
        <v>3687.5</v>
      </c>
      <c r="L135" s="192">
        <f>IF(OR(tblLines[[#This Row],[Rate / Pack]]="",tblLines[[#This Row],[Qty (Packs)]]=""),"",ROUND(tblLines[[#This Row],[Rate / Pack]]*tblLines[[#This Row],[Qty (Packs)]],0))</f>
        <v>317125</v>
      </c>
      <c r="M135" s="193">
        <f>IF(tblLines[[#This Row],[Amount]]="","",tblLines[[#This Row],[Amount]]*IFERROR(INDEX(Products!$I$4:$I$500,MATCH(tblLines[[#This Row],[Description (Product)]],Products!$B$4:$B$500,0)),frmCommRate))</f>
        <v>1109.9375</v>
      </c>
      <c r="N135" s="189">
        <f>IF(tblLines[[#This Row],[Qty (Packs)]]="","",tblLines[[#This Row],[Qty (Packs)]]*tblLines[[#This Row],[Pack Wt (KG)]])</f>
        <v>2150</v>
      </c>
      <c r="O135" s="194"/>
      <c r="P135" s="194"/>
      <c r="Q135" s="194"/>
      <c r="R135" s="194"/>
    </row>
    <row r="136" ht="16.8" customHeight="1" spans="1:18" x14ac:dyDescent="0.25">
      <c r="A136" s="187">
        <v>109</v>
      </c>
      <c r="B136" s="188">
        <v>46274</v>
      </c>
      <c r="C136" s="187" t="s">
        <v>139</v>
      </c>
      <c r="D136" s="187" t="s">
        <v>144</v>
      </c>
      <c r="E136" s="187" t="s">
        <v>126</v>
      </c>
      <c r="F136" s="187" t="s">
        <v>127</v>
      </c>
      <c r="G136" s="187" t="s">
        <v>64</v>
      </c>
      <c r="H136" s="189">
        <v>50</v>
      </c>
      <c r="I136" s="189">
        <v>4350</v>
      </c>
      <c r="J136" s="190">
        <f>IFERROR(INDEX(Products!$E$4:$E$500,MATCH(tblLines[[#This Row],[Description (Product)]],Products!$B$4:$B$500,0)),"")</f>
        <v>25</v>
      </c>
      <c r="K136" s="191">
        <f>IF(OR(tblLines[[#This Row],[Description (Product)]]="",tblLines[[#This Row],[Rate 40Kg]]=""),"",tblLines[[#This Row],[Rate 40Kg]]/40*tblLines[[#This Row],[Pack Wt (KG)]])</f>
        <v>2718.75</v>
      </c>
      <c r="L136" s="192">
        <f>IF(OR(tblLines[[#This Row],[Rate / Pack]]="",tblLines[[#This Row],[Qty (Packs)]]=""),"",ROUND(tblLines[[#This Row],[Rate / Pack]]*tblLines[[#This Row],[Qty (Packs)]],0))</f>
        <v>135938</v>
      </c>
      <c r="M136" s="193">
        <f>IF(tblLines[[#This Row],[Amount]]="","",tblLines[[#This Row],[Amount]]*IFERROR(INDEX(Products!$I$4:$I$500,MATCH(tblLines[[#This Row],[Description (Product)]],Products!$B$4:$B$500,0)),frmCommRate))</f>
        <v>475.783</v>
      </c>
      <c r="N136" s="189">
        <f>IF(tblLines[[#This Row],[Qty (Packs)]]="","",tblLines[[#This Row],[Qty (Packs)]]*tblLines[[#This Row],[Pack Wt (KG)]])</f>
        <v>1250</v>
      </c>
      <c r="O136" s="194"/>
      <c r="P136" s="194"/>
      <c r="Q136" s="194"/>
      <c r="R136" s="194"/>
    </row>
    <row r="137" ht="16.8" customHeight="1" spans="1:18" x14ac:dyDescent="0.25">
      <c r="A137" s="187">
        <v>109</v>
      </c>
      <c r="B137" s="188">
        <v>46274</v>
      </c>
      <c r="C137" s="187" t="s">
        <v>139</v>
      </c>
      <c r="D137" s="187" t="s">
        <v>144</v>
      </c>
      <c r="E137" s="187" t="s">
        <v>126</v>
      </c>
      <c r="F137" s="187" t="s">
        <v>127</v>
      </c>
      <c r="G137" s="187" t="s">
        <v>82</v>
      </c>
      <c r="H137" s="189">
        <v>170</v>
      </c>
      <c r="I137" s="189">
        <v>13300</v>
      </c>
      <c r="J137" s="190">
        <f>IFERROR(INDEX(Products!$E$4:$E$500,MATCH(tblLines[[#This Row],[Description (Product)]],Products!$B$4:$B$500,0)),"")</f>
        <v>25</v>
      </c>
      <c r="K137" s="191">
        <f>IF(OR(tblLines[[#This Row],[Description (Product)]]="",tblLines[[#This Row],[Rate 40Kg]]=""),"",tblLines[[#This Row],[Rate 40Kg]]/40*tblLines[[#This Row],[Pack Wt (KG)]])</f>
        <v>8312.5</v>
      </c>
      <c r="L137" s="192">
        <f>IF(OR(tblLines[[#This Row],[Rate / Pack]]="",tblLines[[#This Row],[Qty (Packs)]]=""),"",ROUND(tblLines[[#This Row],[Rate / Pack]]*tblLines[[#This Row],[Qty (Packs)]],0))</f>
        <v>1413125</v>
      </c>
      <c r="M137" s="193">
        <f>IF(tblLines[[#This Row],[Amount]]="","",tblLines[[#This Row],[Amount]]*IFERROR(INDEX(Products!$I$4:$I$500,MATCH(tblLines[[#This Row],[Description (Product)]],Products!$B$4:$B$500,0)),frmCommRate))</f>
        <v>4945.9375</v>
      </c>
      <c r="N137" s="189">
        <f>IF(tblLines[[#This Row],[Qty (Packs)]]="","",tblLines[[#This Row],[Qty (Packs)]]*tblLines[[#This Row],[Pack Wt (KG)]])</f>
        <v>4250</v>
      </c>
      <c r="O137" s="194"/>
      <c r="P137" s="194"/>
      <c r="Q137" s="194"/>
      <c r="R137" s="194"/>
    </row>
    <row r="138" ht="16.8" customHeight="1" spans="1:18" x14ac:dyDescent="0.25">
      <c r="A138" s="187">
        <v>109</v>
      </c>
      <c r="B138" s="188">
        <v>46274</v>
      </c>
      <c r="C138" s="187" t="s">
        <v>139</v>
      </c>
      <c r="D138" s="187" t="s">
        <v>144</v>
      </c>
      <c r="E138" s="187" t="s">
        <v>126</v>
      </c>
      <c r="F138" s="187" t="s">
        <v>127</v>
      </c>
      <c r="G138" s="187" t="s">
        <v>72</v>
      </c>
      <c r="H138" s="189">
        <v>50</v>
      </c>
      <c r="I138" s="189">
        <v>12150</v>
      </c>
      <c r="J138" s="190">
        <f>IFERROR(INDEX(Products!$E$4:$E$500,MATCH(tblLines[[#This Row],[Description (Product)]],Products!$B$4:$B$500,0)),"")</f>
        <v>25</v>
      </c>
      <c r="K138" s="191">
        <f>IF(OR(tblLines[[#This Row],[Description (Product)]]="",tblLines[[#This Row],[Rate 40Kg]]=""),"",tblLines[[#This Row],[Rate 40Kg]]/40*tblLines[[#This Row],[Pack Wt (KG)]])</f>
        <v>7593.75</v>
      </c>
      <c r="L138" s="192">
        <f>IF(OR(tblLines[[#This Row],[Rate / Pack]]="",tblLines[[#This Row],[Qty (Packs)]]=""),"",ROUND(tblLines[[#This Row],[Rate / Pack]]*tblLines[[#This Row],[Qty (Packs)]],0))</f>
        <v>379688</v>
      </c>
      <c r="M138" s="193">
        <f>IF(tblLines[[#This Row],[Amount]]="","",tblLines[[#This Row],[Amount]]*IFERROR(INDEX(Products!$I$4:$I$500,MATCH(tblLines[[#This Row],[Description (Product)]],Products!$B$4:$B$500,0)),frmCommRate))</f>
        <v>1328.9080000000001</v>
      </c>
      <c r="N138" s="189">
        <f>IF(tblLines[[#This Row],[Qty (Packs)]]="","",tblLines[[#This Row],[Qty (Packs)]]*tblLines[[#This Row],[Pack Wt (KG)]])</f>
        <v>1250</v>
      </c>
      <c r="O138" s="194"/>
      <c r="P138" s="194"/>
      <c r="Q138" s="194"/>
      <c r="R138" s="194"/>
    </row>
    <row r="139" ht="16.8" customHeight="1" spans="1:18" x14ac:dyDescent="0.25">
      <c r="A139" s="195">
        <v>130</v>
      </c>
      <c r="B139" s="196">
        <v>46277</v>
      </c>
      <c r="C139" s="195" t="s">
        <v>117</v>
      </c>
      <c r="D139" s="195"/>
      <c r="E139" s="195" t="s">
        <v>118</v>
      </c>
      <c r="F139" s="195" t="s">
        <v>60</v>
      </c>
      <c r="G139" s="195" t="s">
        <v>70</v>
      </c>
      <c r="H139" s="197">
        <v>520</v>
      </c>
      <c r="I139" s="197">
        <v>10300</v>
      </c>
      <c r="J139" s="198">
        <f>IFERROR(INDEX(Products!$E$4:$E$500,MATCH(tblLines[[#This Row],[Description (Product)]],Products!$B$4:$B$500,0)),"")</f>
        <v>25</v>
      </c>
      <c r="K139" s="199">
        <f>IF(OR(tblLines[[#This Row],[Description (Product)]]="",tblLines[[#This Row],[Rate 40Kg]]=""),"",tblLines[[#This Row],[Rate 40Kg]]/40*tblLines[[#This Row],[Pack Wt (KG)]])</f>
        <v>6437.5</v>
      </c>
      <c r="L139" s="200">
        <f>IF(OR(tblLines[[#This Row],[Rate / Pack]]="",tblLines[[#This Row],[Qty (Packs)]]=""),"",ROUND(tblLines[[#This Row],[Rate / Pack]]*tblLines[[#This Row],[Qty (Packs)]],0))</f>
        <v>3347500</v>
      </c>
      <c r="M139" s="201">
        <f>IF(tblLines[[#This Row],[Amount]]="","",tblLines[[#This Row],[Amount]]*IFERROR(INDEX(Products!$I$4:$I$500,MATCH(tblLines[[#This Row],[Description (Product)]],Products!$B$4:$B$500,0)),frmCommRate))</f>
        <v>11716.25</v>
      </c>
      <c r="N139" s="197">
        <f>IF(tblLines[[#This Row],[Qty (Packs)]]="","",tblLines[[#This Row],[Qty (Packs)]]*tblLines[[#This Row],[Pack Wt (KG)]])</f>
        <v>13000</v>
      </c>
      <c r="O139" s="194"/>
      <c r="P139" s="194"/>
      <c r="Q139" s="194"/>
      <c r="R139" s="194"/>
    </row>
    <row r="140" ht="16.8" customHeight="1" spans="1:18" x14ac:dyDescent="0.25">
      <c r="A140" s="195">
        <v>131</v>
      </c>
      <c r="B140" s="196">
        <v>46277</v>
      </c>
      <c r="C140" s="195" t="s">
        <v>117</v>
      </c>
      <c r="D140" s="195"/>
      <c r="E140" s="195" t="s">
        <v>118</v>
      </c>
      <c r="F140" s="195" t="s">
        <v>60</v>
      </c>
      <c r="G140" s="195" t="s">
        <v>88</v>
      </c>
      <c r="H140" s="197">
        <v>80</v>
      </c>
      <c r="I140" s="197">
        <v>10800</v>
      </c>
      <c r="J140" s="198">
        <f>IFERROR(INDEX(Products!$E$4:$E$500,MATCH(tblLines[[#This Row],[Description (Product)]],Products!$B$4:$B$500,0)),"")</f>
        <v>25</v>
      </c>
      <c r="K140" s="199">
        <f>IF(OR(tblLines[[#This Row],[Description (Product)]]="",tblLines[[#This Row],[Rate 40Kg]]=""),"",tblLines[[#This Row],[Rate 40Kg]]/40*tblLines[[#This Row],[Pack Wt (KG)]])</f>
        <v>6750</v>
      </c>
      <c r="L140" s="200">
        <f>IF(OR(tblLines[[#This Row],[Rate / Pack]]="",tblLines[[#This Row],[Qty (Packs)]]=""),"",ROUND(tblLines[[#This Row],[Rate / Pack]]*tblLines[[#This Row],[Qty (Packs)]],0))</f>
        <v>540000</v>
      </c>
      <c r="M140" s="201">
        <f>IF(tblLines[[#This Row],[Amount]]="","",tblLines[[#This Row],[Amount]]*IFERROR(INDEX(Products!$I$4:$I$500,MATCH(tblLines[[#This Row],[Description (Product)]],Products!$B$4:$B$500,0)),frmCommRate))</f>
        <v>1890</v>
      </c>
      <c r="N140" s="197">
        <f>IF(tblLines[[#This Row],[Qty (Packs)]]="","",tblLines[[#This Row],[Qty (Packs)]]*tblLines[[#This Row],[Pack Wt (KG)]])</f>
        <v>2000</v>
      </c>
      <c r="O140" s="194"/>
      <c r="P140" s="194"/>
      <c r="Q140" s="194"/>
      <c r="R140" s="194"/>
    </row>
    <row r="141" ht="16.8" customHeight="1" spans="1:18" x14ac:dyDescent="0.25">
      <c r="A141" s="195">
        <v>132</v>
      </c>
      <c r="B141" s="196">
        <v>46277</v>
      </c>
      <c r="C141" s="195" t="s">
        <v>145</v>
      </c>
      <c r="D141" s="195"/>
      <c r="E141" s="195" t="s">
        <v>146</v>
      </c>
      <c r="F141" s="195" t="s">
        <v>60</v>
      </c>
      <c r="G141" s="195" t="s">
        <v>82</v>
      </c>
      <c r="H141" s="197">
        <v>600</v>
      </c>
      <c r="I141" s="197">
        <v>13500</v>
      </c>
      <c r="J141" s="198">
        <f>IFERROR(INDEX(Products!$E$4:$E$500,MATCH(tblLines[[#This Row],[Description (Product)]],Products!$B$4:$B$500,0)),"")</f>
        <v>25</v>
      </c>
      <c r="K141" s="199">
        <f>IF(OR(tblLines[[#This Row],[Description (Product)]]="",tblLines[[#This Row],[Rate 40Kg]]=""),"",tblLines[[#This Row],[Rate 40Kg]]/40*tblLines[[#This Row],[Pack Wt (KG)]])</f>
        <v>8437.5</v>
      </c>
      <c r="L141" s="200">
        <f>IF(OR(tblLines[[#This Row],[Rate / Pack]]="",tblLines[[#This Row],[Qty (Packs)]]=""),"",ROUND(tblLines[[#This Row],[Rate / Pack]]*tblLines[[#This Row],[Qty (Packs)]],0))</f>
        <v>5062500</v>
      </c>
      <c r="M141" s="201">
        <f>IF(tblLines[[#This Row],[Amount]]="","",tblLines[[#This Row],[Amount]]*IFERROR(INDEX(Products!$I$4:$I$500,MATCH(tblLines[[#This Row],[Description (Product)]],Products!$B$4:$B$500,0)),frmCommRate))</f>
        <v>17718.75</v>
      </c>
      <c r="N141" s="197">
        <f>IF(tblLines[[#This Row],[Qty (Packs)]]="","",tblLines[[#This Row],[Qty (Packs)]]*tblLines[[#This Row],[Pack Wt (KG)]])</f>
        <v>15000</v>
      </c>
      <c r="O141" s="194"/>
      <c r="P141" s="194"/>
      <c r="Q141" s="194"/>
      <c r="R141" s="194"/>
    </row>
    <row r="142" ht="16.8" customHeight="1" spans="1:18" x14ac:dyDescent="0.25">
      <c r="A142" s="195">
        <v>133</v>
      </c>
      <c r="B142" s="196">
        <v>46277</v>
      </c>
      <c r="C142" s="195" t="s">
        <v>147</v>
      </c>
      <c r="D142" s="195"/>
      <c r="E142" s="195" t="s">
        <v>148</v>
      </c>
      <c r="F142" s="195" t="s">
        <v>60</v>
      </c>
      <c r="G142" s="195" t="s">
        <v>82</v>
      </c>
      <c r="H142" s="197">
        <v>150</v>
      </c>
      <c r="I142" s="197">
        <v>13500</v>
      </c>
      <c r="J142" s="198">
        <f>IFERROR(INDEX(Products!$E$4:$E$500,MATCH(tblLines[[#This Row],[Description (Product)]],Products!$B$4:$B$500,0)),"")</f>
        <v>25</v>
      </c>
      <c r="K142" s="199">
        <f>IF(OR(tblLines[[#This Row],[Description (Product)]]="",tblLines[[#This Row],[Rate 40Kg]]=""),"",tblLines[[#This Row],[Rate 40Kg]]/40*tblLines[[#This Row],[Pack Wt (KG)]])</f>
        <v>8437.5</v>
      </c>
      <c r="L142" s="200">
        <f>IF(OR(tblLines[[#This Row],[Rate / Pack]]="",tblLines[[#This Row],[Qty (Packs)]]=""),"",ROUND(tblLines[[#This Row],[Rate / Pack]]*tblLines[[#This Row],[Qty (Packs)]],0))</f>
        <v>1265625</v>
      </c>
      <c r="M142" s="201">
        <f>IF(tblLines[[#This Row],[Amount]]="","",tblLines[[#This Row],[Amount]]*IFERROR(INDEX(Products!$I$4:$I$500,MATCH(tblLines[[#This Row],[Description (Product)]],Products!$B$4:$B$500,0)),frmCommRate))</f>
        <v>4429.6875</v>
      </c>
      <c r="N142" s="197">
        <f>IF(tblLines[[#This Row],[Qty (Packs)]]="","",tblLines[[#This Row],[Qty (Packs)]]*tblLines[[#This Row],[Pack Wt (KG)]])</f>
        <v>3750</v>
      </c>
      <c r="O142" s="194"/>
      <c r="P142" s="194"/>
      <c r="Q142" s="194"/>
      <c r="R142" s="194"/>
    </row>
    <row r="143" ht="16.8" customHeight="1" spans="1:18" x14ac:dyDescent="0.25">
      <c r="A143" s="195">
        <v>133</v>
      </c>
      <c r="B143" s="196">
        <v>46277</v>
      </c>
      <c r="C143" s="195" t="s">
        <v>147</v>
      </c>
      <c r="D143" s="195"/>
      <c r="E143" s="195" t="s">
        <v>148</v>
      </c>
      <c r="F143" s="195" t="s">
        <v>60</v>
      </c>
      <c r="G143" s="195" t="s">
        <v>64</v>
      </c>
      <c r="H143" s="197">
        <v>450</v>
      </c>
      <c r="I143" s="197">
        <v>4550</v>
      </c>
      <c r="J143" s="198">
        <f>IFERROR(INDEX(Products!$E$4:$E$500,MATCH(tblLines[[#This Row],[Description (Product)]],Products!$B$4:$B$500,0)),"")</f>
        <v>25</v>
      </c>
      <c r="K143" s="199">
        <f>IF(OR(tblLines[[#This Row],[Description (Product)]]="",tblLines[[#This Row],[Rate 40Kg]]=""),"",tblLines[[#This Row],[Rate 40Kg]]/40*tblLines[[#This Row],[Pack Wt (KG)]])</f>
        <v>2843.75</v>
      </c>
      <c r="L143" s="200">
        <f>IF(OR(tblLines[[#This Row],[Rate / Pack]]="",tblLines[[#This Row],[Qty (Packs)]]=""),"",ROUND(tblLines[[#This Row],[Rate / Pack]]*tblLines[[#This Row],[Qty (Packs)]],0))</f>
        <v>1279688</v>
      </c>
      <c r="M143" s="201">
        <f>IF(tblLines[[#This Row],[Amount]]="","",tblLines[[#This Row],[Amount]]*IFERROR(INDEX(Products!$I$4:$I$500,MATCH(tblLines[[#This Row],[Description (Product)]],Products!$B$4:$B$500,0)),frmCommRate))</f>
        <v>4478.908</v>
      </c>
      <c r="N143" s="197">
        <f>IF(tblLines[[#This Row],[Qty (Packs)]]="","",tblLines[[#This Row],[Qty (Packs)]]*tblLines[[#This Row],[Pack Wt (KG)]])</f>
        <v>11250</v>
      </c>
      <c r="O143" s="194"/>
      <c r="P143" s="194"/>
      <c r="Q143" s="194"/>
      <c r="R143" s="194"/>
    </row>
    <row r="144" ht="16.8" customHeight="1" spans="1:18" x14ac:dyDescent="0.25">
      <c r="A144" s="195">
        <v>134</v>
      </c>
      <c r="B144" s="196">
        <v>46276</v>
      </c>
      <c r="C144" s="195" t="s">
        <v>149</v>
      </c>
      <c r="D144" s="195"/>
      <c r="E144" s="195" t="s">
        <v>150</v>
      </c>
      <c r="F144" s="195" t="s">
        <v>60</v>
      </c>
      <c r="G144" s="195" t="s">
        <v>64</v>
      </c>
      <c r="H144" s="197">
        <v>100</v>
      </c>
      <c r="I144" s="197">
        <v>4550</v>
      </c>
      <c r="J144" s="198">
        <f>IFERROR(INDEX(Products!$E$4:$E$500,MATCH(tblLines[[#This Row],[Description (Product)]],Products!$B$4:$B$500,0)),"")</f>
        <v>25</v>
      </c>
      <c r="K144" s="199">
        <f>IF(OR(tblLines[[#This Row],[Description (Product)]]="",tblLines[[#This Row],[Rate 40Kg]]=""),"",tblLines[[#This Row],[Rate 40Kg]]/40*tblLines[[#This Row],[Pack Wt (KG)]])</f>
        <v>2843.75</v>
      </c>
      <c r="L144" s="200">
        <f>IF(OR(tblLines[[#This Row],[Rate / Pack]]="",tblLines[[#This Row],[Qty (Packs)]]=""),"",ROUND(tblLines[[#This Row],[Rate / Pack]]*tblLines[[#This Row],[Qty (Packs)]],0))</f>
        <v>284375</v>
      </c>
      <c r="M144" s="201">
        <f>IF(tblLines[[#This Row],[Amount]]="","",tblLines[[#This Row],[Amount]]*IFERROR(INDEX(Products!$I$4:$I$500,MATCH(tblLines[[#This Row],[Description (Product)]],Products!$B$4:$B$500,0)),frmCommRate))</f>
        <v>995.3125</v>
      </c>
      <c r="N144" s="197">
        <f>IF(tblLines[[#This Row],[Qty (Packs)]]="","",tblLines[[#This Row],[Qty (Packs)]]*tblLines[[#This Row],[Pack Wt (KG)]])</f>
        <v>2500</v>
      </c>
      <c r="O144" s="194"/>
      <c r="P144" s="194"/>
      <c r="Q144" s="194"/>
      <c r="R144" s="194"/>
    </row>
    <row r="145" ht="16.8" customHeight="1" spans="1:18" x14ac:dyDescent="0.25">
      <c r="A145" s="195">
        <v>134</v>
      </c>
      <c r="B145" s="196">
        <v>46276</v>
      </c>
      <c r="C145" s="195" t="s">
        <v>149</v>
      </c>
      <c r="D145" s="195"/>
      <c r="E145" s="195" t="s">
        <v>150</v>
      </c>
      <c r="F145" s="195" t="s">
        <v>60</v>
      </c>
      <c r="G145" s="195" t="s">
        <v>82</v>
      </c>
      <c r="H145" s="197">
        <v>350</v>
      </c>
      <c r="I145" s="197">
        <v>13500</v>
      </c>
      <c r="J145" s="198">
        <f>IFERROR(INDEX(Products!$E$4:$E$500,MATCH(tblLines[[#This Row],[Description (Product)]],Products!$B$4:$B$500,0)),"")</f>
        <v>25</v>
      </c>
      <c r="K145" s="199">
        <f>IF(OR(tblLines[[#This Row],[Description (Product)]]="",tblLines[[#This Row],[Rate 40Kg]]=""),"",tblLines[[#This Row],[Rate 40Kg]]/40*tblLines[[#This Row],[Pack Wt (KG)]])</f>
        <v>8437.5</v>
      </c>
      <c r="L145" s="200">
        <f>IF(OR(tblLines[[#This Row],[Rate / Pack]]="",tblLines[[#This Row],[Qty (Packs)]]=""),"",ROUND(tblLines[[#This Row],[Rate / Pack]]*tblLines[[#This Row],[Qty (Packs)]],0))</f>
        <v>2953125</v>
      </c>
      <c r="M145" s="201">
        <f>IF(tblLines[[#This Row],[Amount]]="","",tblLines[[#This Row],[Amount]]*IFERROR(INDEX(Products!$I$4:$I$500,MATCH(tblLines[[#This Row],[Description (Product)]],Products!$B$4:$B$500,0)),frmCommRate))</f>
        <v>10335.9375</v>
      </c>
      <c r="N145" s="197">
        <f>IF(tblLines[[#This Row],[Qty (Packs)]]="","",tblLines[[#This Row],[Qty (Packs)]]*tblLines[[#This Row],[Pack Wt (KG)]])</f>
        <v>8750</v>
      </c>
      <c r="O145" s="194"/>
      <c r="P145" s="194"/>
      <c r="Q145" s="194"/>
      <c r="R145" s="194"/>
    </row>
    <row r="146" ht="16.8" customHeight="1" spans="1:18" x14ac:dyDescent="0.25">
      <c r="A146" s="195">
        <v>157</v>
      </c>
      <c r="B146" s="196">
        <v>46280</v>
      </c>
      <c r="C146" s="195" t="s">
        <v>139</v>
      </c>
      <c r="D146" s="195"/>
      <c r="E146" s="195" t="s">
        <v>126</v>
      </c>
      <c r="F146" s="195" t="s">
        <v>60</v>
      </c>
      <c r="G146" s="195" t="s">
        <v>84</v>
      </c>
      <c r="H146" s="197">
        <v>17000</v>
      </c>
      <c r="I146" s="197">
        <v>7300</v>
      </c>
      <c r="J146" s="198">
        <f>IFERROR(INDEX(Products!$E$4:$E$500,MATCH(tblLines[[#This Row],[Description (Product)]],Products!$B$4:$B$500,0)),"")</f>
        <v>25</v>
      </c>
      <c r="K146" s="199">
        <f>IF(OR(tblLines[[#This Row],[Description (Product)]]="",tblLines[[#This Row],[Rate 40Kg]]=""),"",tblLines[[#This Row],[Rate 40Kg]]/40*tblLines[[#This Row],[Pack Wt (KG)]])</f>
        <v>4562.5</v>
      </c>
      <c r="L146" s="200">
        <f>IF(OR(tblLines[[#This Row],[Rate / Pack]]="",tblLines[[#This Row],[Qty (Packs)]]=""),"",ROUND(tblLines[[#This Row],[Rate / Pack]]*tblLines[[#This Row],[Qty (Packs)]],0))</f>
        <v>77562500</v>
      </c>
      <c r="M146" s="201">
        <f>IF(tblLines[[#This Row],[Amount]]="","",tblLines[[#This Row],[Amount]]*IFERROR(INDEX(Products!$I$4:$I$500,MATCH(tblLines[[#This Row],[Description (Product)]],Products!$B$4:$B$500,0)),frmCommRate))</f>
        <v>271468.75</v>
      </c>
      <c r="N146" s="197">
        <f>IF(tblLines[[#This Row],[Qty (Packs)]]="","",tblLines[[#This Row],[Qty (Packs)]]*tblLines[[#This Row],[Pack Wt (KG)]])</f>
        <v>425000</v>
      </c>
      <c r="O146" s="194"/>
      <c r="P146" s="194"/>
      <c r="Q146" s="194"/>
      <c r="R146" s="194"/>
    </row>
    <row r="147" ht="16.8" customHeight="1" spans="1:18" x14ac:dyDescent="0.25">
      <c r="A147" s="195">
        <v>155</v>
      </c>
      <c r="B147" s="196">
        <v>46280</v>
      </c>
      <c r="C147" s="195" t="s">
        <v>139</v>
      </c>
      <c r="D147" s="195"/>
      <c r="E147" s="195" t="s">
        <v>126</v>
      </c>
      <c r="F147" s="195" t="s">
        <v>60</v>
      </c>
      <c r="G147" s="195" t="s">
        <v>88</v>
      </c>
      <c r="H147" s="197">
        <v>100</v>
      </c>
      <c r="I147" s="197">
        <v>10600</v>
      </c>
      <c r="J147" s="198">
        <f>IFERROR(INDEX(Products!$E$4:$E$500,MATCH(tblLines[[#This Row],[Description (Product)]],Products!$B$4:$B$500,0)),"")</f>
        <v>25</v>
      </c>
      <c r="K147" s="199">
        <f>IF(OR(tblLines[[#This Row],[Description (Product)]]="",tblLines[[#This Row],[Rate 40Kg]]=""),"",tblLines[[#This Row],[Rate 40Kg]]/40*tblLines[[#This Row],[Pack Wt (KG)]])</f>
        <v>6625</v>
      </c>
      <c r="L147" s="200">
        <f>IF(OR(tblLines[[#This Row],[Rate / Pack]]="",tblLines[[#This Row],[Qty (Packs)]]=""),"",ROUND(tblLines[[#This Row],[Rate / Pack]]*tblLines[[#This Row],[Qty (Packs)]],0))</f>
        <v>662500</v>
      </c>
      <c r="M147" s="201">
        <f>IF(tblLines[[#This Row],[Amount]]="","",tblLines[[#This Row],[Amount]]*IFERROR(INDEX(Products!$I$4:$I$500,MATCH(tblLines[[#This Row],[Description (Product)]],Products!$B$4:$B$500,0)),frmCommRate))</f>
        <v>2318.75</v>
      </c>
      <c r="N147" s="197">
        <f>IF(tblLines[[#This Row],[Qty (Packs)]]="","",tblLines[[#This Row],[Qty (Packs)]]*tblLines[[#This Row],[Pack Wt (KG)]])</f>
        <v>2500</v>
      </c>
      <c r="O147" s="194"/>
      <c r="P147" s="194"/>
      <c r="Q147" s="194"/>
      <c r="R147" s="194"/>
    </row>
    <row r="148" ht="16.8" customHeight="1" spans="1:18" x14ac:dyDescent="0.25">
      <c r="A148" s="195">
        <v>155</v>
      </c>
      <c r="B148" s="196">
        <v>46280</v>
      </c>
      <c r="C148" s="195" t="s">
        <v>139</v>
      </c>
      <c r="D148" s="195"/>
      <c r="E148" s="195" t="s">
        <v>126</v>
      </c>
      <c r="F148" s="195" t="s">
        <v>60</v>
      </c>
      <c r="G148" s="195" t="s">
        <v>78</v>
      </c>
      <c r="H148" s="197">
        <v>100</v>
      </c>
      <c r="I148" s="197">
        <v>12500</v>
      </c>
      <c r="J148" s="198">
        <f>IFERROR(INDEX(Products!$E$4:$E$500,MATCH(tblLines[[#This Row],[Description (Product)]],Products!$B$4:$B$500,0)),"")</f>
        <v>25</v>
      </c>
      <c r="K148" s="199">
        <f>IF(OR(tblLines[[#This Row],[Description (Product)]]="",tblLines[[#This Row],[Rate 40Kg]]=""),"",tblLines[[#This Row],[Rate 40Kg]]/40*tblLines[[#This Row],[Pack Wt (KG)]])</f>
        <v>7812.5</v>
      </c>
      <c r="L148" s="200">
        <f>IF(OR(tblLines[[#This Row],[Rate / Pack]]="",tblLines[[#This Row],[Qty (Packs)]]=""),"",ROUND(tblLines[[#This Row],[Rate / Pack]]*tblLines[[#This Row],[Qty (Packs)]],0))</f>
        <v>781250</v>
      </c>
      <c r="M148" s="201">
        <f>IF(tblLines[[#This Row],[Amount]]="","",tblLines[[#This Row],[Amount]]*IFERROR(INDEX(Products!$I$4:$I$500,MATCH(tblLines[[#This Row],[Description (Product)]],Products!$B$4:$B$500,0)),frmCommRate))</f>
        <v>2734.375</v>
      </c>
      <c r="N148" s="197">
        <f>IF(tblLines[[#This Row],[Qty (Packs)]]="","",tblLines[[#This Row],[Qty (Packs)]]*tblLines[[#This Row],[Pack Wt (KG)]])</f>
        <v>2500</v>
      </c>
      <c r="O148" s="194"/>
      <c r="P148" s="194"/>
      <c r="Q148" s="194"/>
      <c r="R148" s="194"/>
    </row>
    <row r="149" ht="16.8" customHeight="1" spans="1:18" x14ac:dyDescent="0.25">
      <c r="A149" s="195">
        <v>155</v>
      </c>
      <c r="B149" s="196">
        <v>46280</v>
      </c>
      <c r="C149" s="195" t="s">
        <v>139</v>
      </c>
      <c r="D149" s="195"/>
      <c r="E149" s="195" t="s">
        <v>126</v>
      </c>
      <c r="F149" s="195" t="s">
        <v>60</v>
      </c>
      <c r="G149" s="195" t="s">
        <v>72</v>
      </c>
      <c r="H149" s="197">
        <v>817</v>
      </c>
      <c r="I149" s="197">
        <v>12150</v>
      </c>
      <c r="J149" s="198">
        <f>IFERROR(INDEX(Products!$E$4:$E$500,MATCH(tblLines[[#This Row],[Description (Product)]],Products!$B$4:$B$500,0)),"")</f>
        <v>25</v>
      </c>
      <c r="K149" s="199">
        <f>IF(OR(tblLines[[#This Row],[Description (Product)]]="",tblLines[[#This Row],[Rate 40Kg]]=""),"",tblLines[[#This Row],[Rate 40Kg]]/40*tblLines[[#This Row],[Pack Wt (KG)]])</f>
        <v>7593.75</v>
      </c>
      <c r="L149" s="200">
        <f>IF(OR(tblLines[[#This Row],[Rate / Pack]]="",tblLines[[#This Row],[Qty (Packs)]]=""),"",ROUND(tblLines[[#This Row],[Rate / Pack]]*tblLines[[#This Row],[Qty (Packs)]],0))</f>
        <v>6204094</v>
      </c>
      <c r="M149" s="201">
        <f>IF(tblLines[[#This Row],[Amount]]="","",tblLines[[#This Row],[Amount]]*IFERROR(INDEX(Products!$I$4:$I$500,MATCH(tblLines[[#This Row],[Description (Product)]],Products!$B$4:$B$500,0)),frmCommRate))</f>
        <v>21714.329</v>
      </c>
      <c r="N149" s="197">
        <f>IF(tblLines[[#This Row],[Qty (Packs)]]="","",tblLines[[#This Row],[Qty (Packs)]]*tblLines[[#This Row],[Pack Wt (KG)]])</f>
        <v>20425</v>
      </c>
      <c r="O149" s="194"/>
      <c r="P149" s="194"/>
      <c r="Q149" s="194"/>
      <c r="R149" s="194"/>
    </row>
    <row r="150" ht="16.8" customHeight="1" spans="1:18" x14ac:dyDescent="0.25">
      <c r="A150" s="195">
        <v>155</v>
      </c>
      <c r="B150" s="196">
        <v>46280</v>
      </c>
      <c r="C150" s="195" t="s">
        <v>139</v>
      </c>
      <c r="D150" s="195"/>
      <c r="E150" s="195" t="s">
        <v>126</v>
      </c>
      <c r="F150" s="195" t="s">
        <v>60</v>
      </c>
      <c r="G150" s="195" t="s">
        <v>74</v>
      </c>
      <c r="H150" s="197">
        <v>100</v>
      </c>
      <c r="I150" s="197">
        <v>5900</v>
      </c>
      <c r="J150" s="198">
        <f>IFERROR(INDEX(Products!$E$4:$E$500,MATCH(tblLines[[#This Row],[Description (Product)]],Products!$B$4:$B$500,0)),"")</f>
        <v>25</v>
      </c>
      <c r="K150" s="199">
        <f>IF(OR(tblLines[[#This Row],[Description (Product)]]="",tblLines[[#This Row],[Rate 40Kg]]=""),"",tblLines[[#This Row],[Rate 40Kg]]/40*tblLines[[#This Row],[Pack Wt (KG)]])</f>
        <v>3687.5</v>
      </c>
      <c r="L150" s="200">
        <f>IF(OR(tblLines[[#This Row],[Rate / Pack]]="",tblLines[[#This Row],[Qty (Packs)]]=""),"",ROUND(tblLines[[#This Row],[Rate / Pack]]*tblLines[[#This Row],[Qty (Packs)]],0))</f>
        <v>368750</v>
      </c>
      <c r="M150" s="201">
        <f>IF(tblLines[[#This Row],[Amount]]="","",tblLines[[#This Row],[Amount]]*IFERROR(INDEX(Products!$I$4:$I$500,MATCH(tblLines[[#This Row],[Description (Product)]],Products!$B$4:$B$500,0)),frmCommRate))</f>
        <v>1290.625</v>
      </c>
      <c r="N150" s="197">
        <f>IF(tblLines[[#This Row],[Qty (Packs)]]="","",tblLines[[#This Row],[Qty (Packs)]]*tblLines[[#This Row],[Pack Wt (KG)]])</f>
        <v>2500</v>
      </c>
      <c r="O150" s="194"/>
      <c r="P150" s="194"/>
      <c r="Q150" s="194"/>
      <c r="R150" s="194"/>
    </row>
    <row r="151" ht="16.8" customHeight="1" spans="1:18" x14ac:dyDescent="0.25">
      <c r="A151" s="195">
        <v>156</v>
      </c>
      <c r="B151" s="196">
        <v>46280</v>
      </c>
      <c r="C151" s="195" t="s">
        <v>139</v>
      </c>
      <c r="D151" s="195"/>
      <c r="E151" s="195" t="s">
        <v>126</v>
      </c>
      <c r="F151" s="195" t="s">
        <v>60</v>
      </c>
      <c r="G151" s="195" t="s">
        <v>69</v>
      </c>
      <c r="H151" s="197">
        <v>5</v>
      </c>
      <c r="I151" s="197">
        <v>9150</v>
      </c>
      <c r="J151" s="198">
        <f>IFERROR(INDEX(Products!$E$4:$E$500,MATCH(tblLines[[#This Row],[Description (Product)]],Products!$B$4:$B$500,0)),"")</f>
        <v>25</v>
      </c>
      <c r="K151" s="199">
        <f>IF(OR(tblLines[[#This Row],[Description (Product)]]="",tblLines[[#This Row],[Rate 40Kg]]=""),"",tblLines[[#This Row],[Rate 40Kg]]/40*tblLines[[#This Row],[Pack Wt (KG)]])</f>
        <v>5718.75</v>
      </c>
      <c r="L151" s="200">
        <f>IF(OR(tblLines[[#This Row],[Rate / Pack]]="",tblLines[[#This Row],[Qty (Packs)]]=""),"",ROUND(tblLines[[#This Row],[Rate / Pack]]*tblLines[[#This Row],[Qty (Packs)]],0))</f>
        <v>28594</v>
      </c>
      <c r="M151" s="201">
        <f>IF(tblLines[[#This Row],[Amount]]="","",tblLines[[#This Row],[Amount]]*IFERROR(INDEX(Products!$I$4:$I$500,MATCH(tblLines[[#This Row],[Description (Product)]],Products!$B$4:$B$500,0)),frmCommRate))</f>
        <v>100.07900000000001</v>
      </c>
      <c r="N151" s="197">
        <f>IF(tblLines[[#This Row],[Qty (Packs)]]="","",tblLines[[#This Row],[Qty (Packs)]]*tblLines[[#This Row],[Pack Wt (KG)]])</f>
        <v>125</v>
      </c>
      <c r="O151" s="194"/>
      <c r="P151" s="194"/>
      <c r="Q151" s="194"/>
      <c r="R151" s="194"/>
    </row>
    <row r="152" ht="16.8" customHeight="1" spans="1:18" x14ac:dyDescent="0.25">
      <c r="A152" s="195">
        <v>156</v>
      </c>
      <c r="B152" s="196">
        <v>46280</v>
      </c>
      <c r="C152" s="195" t="s">
        <v>139</v>
      </c>
      <c r="D152" s="195"/>
      <c r="E152" s="195" t="s">
        <v>126</v>
      </c>
      <c r="F152" s="195" t="s">
        <v>60</v>
      </c>
      <c r="G152" s="195" t="s">
        <v>68</v>
      </c>
      <c r="H152" s="197">
        <v>20</v>
      </c>
      <c r="I152" s="197">
        <v>8500</v>
      </c>
      <c r="J152" s="198">
        <f>IFERROR(INDEX(Products!$E$4:$E$500,MATCH(tblLines[[#This Row],[Description (Product)]],Products!$B$4:$B$500,0)),"")</f>
        <v>25</v>
      </c>
      <c r="K152" s="199">
        <f>IF(OR(tblLines[[#This Row],[Description (Product)]]="",tblLines[[#This Row],[Rate 40Kg]]=""),"",tblLines[[#This Row],[Rate 40Kg]]/40*tblLines[[#This Row],[Pack Wt (KG)]])</f>
        <v>5312.5</v>
      </c>
      <c r="L152" s="200">
        <f>IF(OR(tblLines[[#This Row],[Rate / Pack]]="",tblLines[[#This Row],[Qty (Packs)]]=""),"",ROUND(tblLines[[#This Row],[Rate / Pack]]*tblLines[[#This Row],[Qty (Packs)]],0))</f>
        <v>106250</v>
      </c>
      <c r="M152" s="201">
        <f>IF(tblLines[[#This Row],[Amount]]="","",tblLines[[#This Row],[Amount]]*IFERROR(INDEX(Products!$I$4:$I$500,MATCH(tblLines[[#This Row],[Description (Product)]],Products!$B$4:$B$500,0)),frmCommRate))</f>
        <v>371.875</v>
      </c>
      <c r="N152" s="197">
        <f>IF(tblLines[[#This Row],[Qty (Packs)]]="","",tblLines[[#This Row],[Qty (Packs)]]*tblLines[[#This Row],[Pack Wt (KG)]])</f>
        <v>500</v>
      </c>
      <c r="O152" s="194"/>
      <c r="P152" s="194"/>
      <c r="Q152" s="194"/>
      <c r="R152" s="194"/>
    </row>
    <row r="153" ht="16.8" customHeight="1" spans="1:18" x14ac:dyDescent="0.25">
      <c r="A153" s="195">
        <v>156</v>
      </c>
      <c r="B153" s="196">
        <v>46280</v>
      </c>
      <c r="C153" s="195" t="s">
        <v>139</v>
      </c>
      <c r="D153" s="195"/>
      <c r="E153" s="195" t="s">
        <v>126</v>
      </c>
      <c r="F153" s="195" t="s">
        <v>60</v>
      </c>
      <c r="G153" s="195" t="s">
        <v>67</v>
      </c>
      <c r="H153" s="197">
        <v>10</v>
      </c>
      <c r="I153" s="197">
        <v>7350</v>
      </c>
      <c r="J153" s="198">
        <f>IFERROR(INDEX(Products!$E$4:$E$500,MATCH(tblLines[[#This Row],[Description (Product)]],Products!$B$4:$B$500,0)),"")</f>
        <v>25</v>
      </c>
      <c r="K153" s="199">
        <f>IF(OR(tblLines[[#This Row],[Description (Product)]]="",tblLines[[#This Row],[Rate 40Kg]]=""),"",tblLines[[#This Row],[Rate 40Kg]]/40*tblLines[[#This Row],[Pack Wt (KG)]])</f>
        <v>4593.75</v>
      </c>
      <c r="L153" s="200">
        <f>IF(OR(tblLines[[#This Row],[Rate / Pack]]="",tblLines[[#This Row],[Qty (Packs)]]=""),"",ROUND(tblLines[[#This Row],[Rate / Pack]]*tblLines[[#This Row],[Qty (Packs)]],0))</f>
        <v>45938</v>
      </c>
      <c r="M153" s="201">
        <f>IF(tblLines[[#This Row],[Amount]]="","",tblLines[[#This Row],[Amount]]*IFERROR(INDEX(Products!$I$4:$I$500,MATCH(tblLines[[#This Row],[Description (Product)]],Products!$B$4:$B$500,0)),frmCommRate))</f>
        <v>160.78300000000002</v>
      </c>
      <c r="N153" s="197">
        <f>IF(tblLines[[#This Row],[Qty (Packs)]]="","",tblLines[[#This Row],[Qty (Packs)]]*tblLines[[#This Row],[Pack Wt (KG)]])</f>
        <v>250</v>
      </c>
      <c r="O153" s="194"/>
      <c r="P153" s="194"/>
      <c r="Q153" s="194"/>
      <c r="R153" s="194"/>
    </row>
    <row r="154" ht="16.8" customHeight="1" spans="1:18" x14ac:dyDescent="0.25">
      <c r="A154" s="195">
        <v>156</v>
      </c>
      <c r="B154" s="196">
        <v>46280</v>
      </c>
      <c r="C154" s="195" t="s">
        <v>139</v>
      </c>
      <c r="D154" s="195"/>
      <c r="E154" s="195" t="s">
        <v>126</v>
      </c>
      <c r="F154" s="195" t="s">
        <v>60</v>
      </c>
      <c r="G154" s="195" t="s">
        <v>70</v>
      </c>
      <c r="H154" s="197">
        <v>20</v>
      </c>
      <c r="I154" s="197">
        <v>10300</v>
      </c>
      <c r="J154" s="198">
        <f>IFERROR(INDEX(Products!$E$4:$E$500,MATCH(tblLines[[#This Row],[Description (Product)]],Products!$B$4:$B$500,0)),"")</f>
        <v>25</v>
      </c>
      <c r="K154" s="199">
        <f>IF(OR(tblLines[[#This Row],[Description (Product)]]="",tblLines[[#This Row],[Rate 40Kg]]=""),"",tblLines[[#This Row],[Rate 40Kg]]/40*tblLines[[#This Row],[Pack Wt (KG)]])</f>
        <v>6437.5</v>
      </c>
      <c r="L154" s="200">
        <f>IF(OR(tblLines[[#This Row],[Rate / Pack]]="",tblLines[[#This Row],[Qty (Packs)]]=""),"",ROUND(tblLines[[#This Row],[Rate / Pack]]*tblLines[[#This Row],[Qty (Packs)]],0))</f>
        <v>128750</v>
      </c>
      <c r="M154" s="201">
        <f>IF(tblLines[[#This Row],[Amount]]="","",tblLines[[#This Row],[Amount]]*IFERROR(INDEX(Products!$I$4:$I$500,MATCH(tblLines[[#This Row],[Description (Product)]],Products!$B$4:$B$500,0)),frmCommRate))</f>
        <v>450.625</v>
      </c>
      <c r="N154" s="197">
        <f>IF(tblLines[[#This Row],[Qty (Packs)]]="","",tblLines[[#This Row],[Qty (Packs)]]*tblLines[[#This Row],[Pack Wt (KG)]])</f>
        <v>500</v>
      </c>
      <c r="O154" s="194"/>
      <c r="P154" s="194"/>
      <c r="Q154" s="194"/>
      <c r="R154" s="194"/>
    </row>
    <row r="155" ht="16.8" customHeight="1" spans="1:18" x14ac:dyDescent="0.25">
      <c r="A155" s="195">
        <v>156</v>
      </c>
      <c r="B155" s="196">
        <v>46280</v>
      </c>
      <c r="C155" s="195" t="s">
        <v>139</v>
      </c>
      <c r="D155" s="195"/>
      <c r="E155" s="195" t="s">
        <v>126</v>
      </c>
      <c r="F155" s="195" t="s">
        <v>60</v>
      </c>
      <c r="G155" s="195" t="s">
        <v>63</v>
      </c>
      <c r="H155" s="197">
        <v>20</v>
      </c>
      <c r="I155" s="197">
        <v>9100</v>
      </c>
      <c r="J155" s="198">
        <f>IFERROR(INDEX(Products!$E$4:$E$500,MATCH(tblLines[[#This Row],[Description (Product)]],Products!$B$4:$B$500,0)),"")</f>
        <v>25</v>
      </c>
      <c r="K155" s="199">
        <f>IF(OR(tblLines[[#This Row],[Description (Product)]]="",tblLines[[#This Row],[Rate 40Kg]]=""),"",tblLines[[#This Row],[Rate 40Kg]]/40*tblLines[[#This Row],[Pack Wt (KG)]])</f>
        <v>5687.5</v>
      </c>
      <c r="L155" s="200">
        <f>IF(OR(tblLines[[#This Row],[Rate / Pack]]="",tblLines[[#This Row],[Qty (Packs)]]=""),"",ROUND(tblLines[[#This Row],[Rate / Pack]]*tblLines[[#This Row],[Qty (Packs)]],0))</f>
        <v>113750</v>
      </c>
      <c r="M155" s="201">
        <f>IF(tblLines[[#This Row],[Amount]]="","",tblLines[[#This Row],[Amount]]*IFERROR(INDEX(Products!$I$4:$I$500,MATCH(tblLines[[#This Row],[Description (Product)]],Products!$B$4:$B$500,0)),frmCommRate))</f>
        <v>398.125</v>
      </c>
      <c r="N155" s="197">
        <f>IF(tblLines[[#This Row],[Qty (Packs)]]="","",tblLines[[#This Row],[Qty (Packs)]]*tblLines[[#This Row],[Pack Wt (KG)]])</f>
        <v>500</v>
      </c>
      <c r="O155" s="194"/>
      <c r="P155" s="194"/>
      <c r="Q155" s="194"/>
      <c r="R155" s="194"/>
    </row>
    <row r="156" ht="16.8" customHeight="1" spans="1:18" x14ac:dyDescent="0.25">
      <c r="A156" s="195"/>
      <c r="B156" s="196"/>
      <c r="C156" s="195"/>
      <c r="D156" s="195"/>
      <c r="E156" s="195"/>
      <c r="F156" s="195"/>
      <c r="G156" s="195"/>
      <c r="H156" s="197"/>
      <c r="I156" s="197"/>
      <c r="J156" s="198">
        <f>IFERROR(INDEX(Products!$E$4:$E$500,MATCH(tblLines[[#This Row],[Description (Product)]],Products!$B$4:$B$500,0)),"")</f>
      </c>
      <c r="K156" s="199">
        <f>IF(OR(tblLines[[#This Row],[Description (Product)]]="",tblLines[[#This Row],[Rate 40Kg]]=""),"",tblLines[[#This Row],[Rate 40Kg]]/40*tblLines[[#This Row],[Pack Wt (KG)]])</f>
      </c>
      <c r="L156" s="200">
        <f>IF(OR(tblLines[[#This Row],[Rate / Pack]]="",tblLines[[#This Row],[Qty (Packs)]]=""),"",ROUND(tblLines[[#This Row],[Rate / Pack]]*tblLines[[#This Row],[Qty (Packs)]],0))</f>
      </c>
      <c r="M156" s="201">
        <f>IF(tblLines[[#This Row],[Amount]]="","",tblLines[[#This Row],[Amount]]*IFERROR(INDEX(Products!$I$4:$I$500,MATCH(tblLines[[#This Row],[Description (Product)]],Products!$B$4:$B$500,0)),frmCommRate))</f>
      </c>
      <c r="N156" s="197">
        <f>IF(tblLines[[#This Row],[Qty (Packs)]]="","",tblLines[[#This Row],[Qty (Packs)]]*tblLines[[#This Row],[Pack Wt (KG)]])</f>
      </c>
      <c r="O156" s="194"/>
      <c r="P156" s="194"/>
      <c r="Q156" s="194"/>
      <c r="R156" s="194"/>
    </row>
    <row r="157" ht="16.8" customHeight="1" spans="1:18" x14ac:dyDescent="0.25">
      <c r="A157" s="194"/>
      <c r="B157" s="194"/>
      <c r="C157" s="194"/>
      <c r="D157" s="194"/>
      <c r="E157" s="194"/>
      <c r="F157" s="194"/>
      <c r="G157" s="202"/>
      <c r="H157" s="203"/>
      <c r="I157" s="203"/>
      <c r="J157" s="203"/>
      <c r="K157" s="203"/>
      <c r="L157" s="204"/>
      <c r="M157" s="203"/>
      <c r="N157" s="203"/>
      <c r="O157" s="194"/>
      <c r="P157" s="194"/>
      <c r="Q157" s="194"/>
      <c r="R157" s="194"/>
    </row>
    <row r="158" ht="16.8" customHeight="1" spans="1:18" x14ac:dyDescent="0.25">
      <c r="A158" s="194"/>
      <c r="B158" s="194"/>
      <c r="C158" s="194"/>
      <c r="D158" s="194"/>
      <c r="E158" s="194"/>
      <c r="F158" s="194"/>
      <c r="G158" s="202"/>
      <c r="H158" s="203"/>
      <c r="I158" s="203"/>
      <c r="J158" s="203"/>
      <c r="K158" s="203"/>
      <c r="L158" s="204"/>
      <c r="M158" s="203"/>
      <c r="N158" s="203"/>
      <c r="O158" s="194"/>
      <c r="P158" s="194"/>
      <c r="Q158" s="194"/>
      <c r="R158" s="194"/>
    </row>
    <row r="159" ht="16.8" customHeight="1" spans="1:18" x14ac:dyDescent="0.25">
      <c r="A159" s="194"/>
      <c r="B159" s="194"/>
      <c r="C159" s="194"/>
      <c r="D159" s="194"/>
      <c r="E159" s="194"/>
      <c r="F159" s="194"/>
      <c r="G159" s="202"/>
      <c r="H159" s="203"/>
      <c r="I159" s="203"/>
      <c r="J159" s="203"/>
      <c r="K159" s="203"/>
      <c r="L159" s="204"/>
      <c r="M159" s="203"/>
      <c r="N159" s="203"/>
      <c r="O159" s="194"/>
      <c r="P159" s="194"/>
      <c r="Q159" s="194"/>
      <c r="R159" s="194"/>
    </row>
    <row r="160" ht="16.8" customHeight="1" spans="1:18" x14ac:dyDescent="0.25">
      <c r="A160" s="194"/>
      <c r="B160" s="194"/>
      <c r="C160" s="194"/>
      <c r="D160" s="194"/>
      <c r="E160" s="194"/>
      <c r="F160" s="194"/>
      <c r="G160" s="202"/>
      <c r="H160" s="203"/>
      <c r="I160" s="203"/>
      <c r="J160" s="203"/>
      <c r="K160" s="203"/>
      <c r="L160" s="204"/>
      <c r="M160" s="203"/>
      <c r="N160" s="203"/>
      <c r="O160" s="194"/>
      <c r="P160" s="194"/>
      <c r="Q160" s="194"/>
      <c r="R160" s="194"/>
    </row>
    <row r="161" ht="16.8" customHeight="1" spans="1:18" x14ac:dyDescent="0.25">
      <c r="A161" s="194"/>
      <c r="B161" s="194"/>
      <c r="C161" s="194"/>
      <c r="D161" s="194"/>
      <c r="E161" s="194"/>
      <c r="F161" s="194"/>
      <c r="G161" s="202"/>
      <c r="H161" s="203"/>
      <c r="I161" s="203"/>
      <c r="J161" s="203"/>
      <c r="K161" s="203"/>
      <c r="L161" s="204"/>
      <c r="M161" s="203"/>
      <c r="N161" s="203"/>
      <c r="O161" s="194"/>
      <c r="P161" s="194"/>
      <c r="Q161" s="194"/>
      <c r="R161" s="194"/>
    </row>
    <row r="162" ht="16.8" customHeight="1" spans="1:18" x14ac:dyDescent="0.25">
      <c r="A162" s="194"/>
      <c r="B162" s="194"/>
      <c r="C162" s="194"/>
      <c r="D162" s="194"/>
      <c r="E162" s="194"/>
      <c r="F162" s="194"/>
      <c r="G162" s="202"/>
      <c r="H162" s="203"/>
      <c r="I162" s="203"/>
      <c r="J162" s="203"/>
      <c r="K162" s="203"/>
      <c r="L162" s="204"/>
      <c r="M162" s="203"/>
      <c r="N162" s="203"/>
      <c r="O162" s="194"/>
      <c r="P162" s="194"/>
      <c r="Q162" s="194"/>
      <c r="R162" s="194"/>
    </row>
    <row r="163" ht="16.8" customHeight="1" spans="1:18" x14ac:dyDescent="0.25">
      <c r="A163" s="194"/>
      <c r="B163" s="194"/>
      <c r="C163" s="194"/>
      <c r="D163" s="194"/>
      <c r="E163" s="194"/>
      <c r="F163" s="194"/>
      <c r="G163" s="202"/>
      <c r="H163" s="203"/>
      <c r="I163" s="203"/>
      <c r="J163" s="203"/>
      <c r="K163" s="203"/>
      <c r="L163" s="204"/>
      <c r="M163" s="203"/>
      <c r="N163" s="203"/>
      <c r="O163" s="194"/>
      <c r="P163" s="194"/>
      <c r="Q163" s="194"/>
      <c r="R163" s="194"/>
    </row>
    <row r="164" ht="16.8" customHeight="1" spans="1:18" x14ac:dyDescent="0.25">
      <c r="A164" s="194"/>
      <c r="B164" s="194"/>
      <c r="C164" s="194"/>
      <c r="D164" s="194"/>
      <c r="E164" s="194"/>
      <c r="F164" s="194"/>
      <c r="G164" s="202"/>
      <c r="H164" s="203"/>
      <c r="I164" s="203"/>
      <c r="J164" s="203"/>
      <c r="K164" s="203"/>
      <c r="L164" s="204"/>
      <c r="M164" s="203"/>
      <c r="N164" s="203"/>
      <c r="O164" s="194"/>
      <c r="P164" s="194"/>
      <c r="Q164" s="194"/>
      <c r="R164" s="194"/>
    </row>
    <row r="165" ht="16.8" customHeight="1" spans="1:18" x14ac:dyDescent="0.25">
      <c r="A165" s="194"/>
      <c r="B165" s="194"/>
      <c r="C165" s="194"/>
      <c r="D165" s="194"/>
      <c r="E165" s="194"/>
      <c r="F165" s="194"/>
      <c r="G165" s="202"/>
      <c r="H165" s="203"/>
      <c r="I165" s="203"/>
      <c r="J165" s="203"/>
      <c r="K165" s="203"/>
      <c r="L165" s="204"/>
      <c r="M165" s="203"/>
      <c r="N165" s="203"/>
      <c r="O165" s="194"/>
      <c r="P165" s="194"/>
      <c r="Q165" s="194"/>
      <c r="R165" s="194"/>
    </row>
    <row r="166" ht="16.8" customHeight="1" spans="1:18" x14ac:dyDescent="0.25">
      <c r="A166" s="194"/>
      <c r="B166" s="194"/>
      <c r="C166" s="194"/>
      <c r="D166" s="194"/>
      <c r="E166" s="194"/>
      <c r="F166" s="194"/>
      <c r="G166" s="202"/>
      <c r="H166" s="203"/>
      <c r="I166" s="203"/>
      <c r="J166" s="203"/>
      <c r="K166" s="203"/>
      <c r="L166" s="204"/>
      <c r="M166" s="203"/>
      <c r="N166" s="203"/>
      <c r="O166" s="194"/>
      <c r="P166" s="194"/>
      <c r="Q166" s="194"/>
      <c r="R166" s="194"/>
    </row>
    <row r="167" ht="16.8" customHeight="1" spans="1:18" x14ac:dyDescent="0.25">
      <c r="A167" s="194"/>
      <c r="B167" s="194"/>
      <c r="C167" s="194"/>
      <c r="D167" s="194"/>
      <c r="E167" s="194"/>
      <c r="F167" s="194"/>
      <c r="G167" s="202"/>
      <c r="H167" s="203"/>
      <c r="I167" s="203"/>
      <c r="J167" s="203"/>
      <c r="K167" s="203"/>
      <c r="L167" s="204"/>
      <c r="M167" s="203"/>
      <c r="N167" s="203"/>
      <c r="O167" s="194"/>
      <c r="P167" s="194"/>
      <c r="Q167" s="194"/>
      <c r="R167" s="194"/>
    </row>
    <row r="168" ht="16.8" customHeight="1" spans="1:18" x14ac:dyDescent="0.25">
      <c r="A168" s="194"/>
      <c r="B168" s="194"/>
      <c r="C168" s="194"/>
      <c r="D168" s="194"/>
      <c r="E168" s="194"/>
      <c r="F168" s="194"/>
      <c r="G168" s="202"/>
      <c r="H168" s="203"/>
      <c r="I168" s="203"/>
      <c r="J168" s="203"/>
      <c r="K168" s="203"/>
      <c r="L168" s="204"/>
      <c r="M168" s="203"/>
      <c r="N168" s="203"/>
      <c r="O168" s="194"/>
      <c r="P168" s="194"/>
      <c r="Q168" s="194"/>
      <c r="R168" s="194"/>
    </row>
    <row r="169" ht="16.8" customHeight="1" spans="1:18" x14ac:dyDescent="0.25">
      <c r="A169" s="194"/>
      <c r="B169" s="194"/>
      <c r="C169" s="194"/>
      <c r="D169" s="194"/>
      <c r="E169" s="194"/>
      <c r="F169" s="194"/>
      <c r="G169" s="202"/>
      <c r="H169" s="203"/>
      <c r="I169" s="203"/>
      <c r="J169" s="203"/>
      <c r="K169" s="203"/>
      <c r="L169" s="204"/>
      <c r="M169" s="203"/>
      <c r="N169" s="203"/>
      <c r="O169" s="194"/>
      <c r="P169" s="194"/>
      <c r="Q169" s="194"/>
      <c r="R169" s="194"/>
    </row>
    <row r="170" ht="16.8" customHeight="1" spans="1:18" x14ac:dyDescent="0.25">
      <c r="A170" s="194"/>
      <c r="B170" s="194"/>
      <c r="C170" s="194"/>
      <c r="D170" s="194"/>
      <c r="E170" s="194"/>
      <c r="F170" s="194"/>
      <c r="G170" s="202"/>
      <c r="H170" s="203"/>
      <c r="I170" s="203"/>
      <c r="J170" s="203"/>
      <c r="K170" s="203"/>
      <c r="L170" s="204"/>
      <c r="M170" s="203"/>
      <c r="N170" s="203"/>
      <c r="O170" s="194"/>
      <c r="P170" s="194"/>
      <c r="Q170" s="194"/>
      <c r="R170" s="194"/>
    </row>
    <row r="171" ht="16.8" customHeight="1" spans="1:18" x14ac:dyDescent="0.25">
      <c r="A171" s="194"/>
      <c r="B171" s="194"/>
      <c r="C171" s="194"/>
      <c r="D171" s="194"/>
      <c r="E171" s="194"/>
      <c r="F171" s="194"/>
      <c r="G171" s="202"/>
      <c r="H171" s="203"/>
      <c r="I171" s="203"/>
      <c r="J171" s="203"/>
      <c r="K171" s="203"/>
      <c r="L171" s="204"/>
      <c r="M171" s="203"/>
      <c r="N171" s="203"/>
      <c r="O171" s="194"/>
      <c r="P171" s="194"/>
      <c r="Q171" s="194"/>
      <c r="R171" s="194"/>
    </row>
    <row r="172" ht="16.8" customHeight="1" spans="1:18" x14ac:dyDescent="0.25">
      <c r="A172" s="194"/>
      <c r="B172" s="194"/>
      <c r="C172" s="194"/>
      <c r="D172" s="194"/>
      <c r="E172" s="194"/>
      <c r="F172" s="194"/>
      <c r="G172" s="202"/>
      <c r="H172" s="203"/>
      <c r="I172" s="203"/>
      <c r="J172" s="203"/>
      <c r="K172" s="203"/>
      <c r="L172" s="204"/>
      <c r="M172" s="203"/>
      <c r="N172" s="203"/>
      <c r="O172" s="194"/>
      <c r="P172" s="194"/>
      <c r="Q172" s="194"/>
      <c r="R172" s="194"/>
    </row>
    <row r="173" ht="16.8" customHeight="1" spans="1:18" x14ac:dyDescent="0.25">
      <c r="A173" s="194"/>
      <c r="B173" s="194"/>
      <c r="C173" s="194"/>
      <c r="D173" s="194"/>
      <c r="E173" s="194"/>
      <c r="F173" s="194"/>
      <c r="G173" s="202"/>
      <c r="H173" s="203"/>
      <c r="I173" s="203"/>
      <c r="J173" s="203"/>
      <c r="K173" s="203"/>
      <c r="L173" s="204"/>
      <c r="M173" s="203"/>
      <c r="N173" s="203"/>
      <c r="O173" s="194"/>
      <c r="P173" s="194"/>
      <c r="Q173" s="194"/>
      <c r="R173" s="194"/>
    </row>
    <row r="174" ht="16.8" customHeight="1" spans="1:18" x14ac:dyDescent="0.25">
      <c r="A174" s="194"/>
      <c r="B174" s="194"/>
      <c r="C174" s="194"/>
      <c r="D174" s="194"/>
      <c r="E174" s="194"/>
      <c r="F174" s="194"/>
      <c r="G174" s="202"/>
      <c r="H174" s="203"/>
      <c r="I174" s="203"/>
      <c r="J174" s="203"/>
      <c r="K174" s="203"/>
      <c r="L174" s="204"/>
      <c r="M174" s="203"/>
      <c r="N174" s="203"/>
      <c r="O174" s="194"/>
      <c r="P174" s="194"/>
      <c r="Q174" s="194"/>
      <c r="R174" s="194"/>
    </row>
    <row r="175" ht="16.8" customHeight="1" spans="1:18" x14ac:dyDescent="0.25">
      <c r="A175" s="194"/>
      <c r="B175" s="194"/>
      <c r="C175" s="194"/>
      <c r="D175" s="194"/>
      <c r="E175" s="194"/>
      <c r="F175" s="194"/>
      <c r="G175" s="202"/>
      <c r="H175" s="203"/>
      <c r="I175" s="203"/>
      <c r="J175" s="203"/>
      <c r="K175" s="203"/>
      <c r="L175" s="204"/>
      <c r="M175" s="203"/>
      <c r="N175" s="203"/>
      <c r="O175" s="194"/>
      <c r="P175" s="194"/>
      <c r="Q175" s="194"/>
      <c r="R175" s="194"/>
    </row>
    <row r="176" ht="16.8" customHeight="1" spans="1:18" x14ac:dyDescent="0.25">
      <c r="A176" s="194"/>
      <c r="B176" s="194"/>
      <c r="C176" s="194"/>
      <c r="D176" s="194"/>
      <c r="E176" s="194"/>
      <c r="F176" s="194"/>
      <c r="G176" s="202"/>
      <c r="H176" s="203"/>
      <c r="I176" s="203"/>
      <c r="J176" s="203"/>
      <c r="K176" s="203"/>
      <c r="L176" s="204"/>
      <c r="M176" s="203"/>
      <c r="N176" s="203"/>
      <c r="O176" s="194"/>
      <c r="P176" s="194"/>
      <c r="Q176" s="194"/>
      <c r="R176" s="194"/>
    </row>
    <row r="177" ht="16.8" customHeight="1" spans="1:18" x14ac:dyDescent="0.25">
      <c r="A177" s="194"/>
      <c r="B177" s="194"/>
      <c r="C177" s="194"/>
      <c r="D177" s="194"/>
      <c r="E177" s="194"/>
      <c r="F177" s="194"/>
      <c r="G177" s="202"/>
      <c r="H177" s="203"/>
      <c r="I177" s="203"/>
      <c r="J177" s="203"/>
      <c r="K177" s="203"/>
      <c r="L177" s="204"/>
      <c r="M177" s="203"/>
      <c r="N177" s="203"/>
      <c r="O177" s="194"/>
      <c r="P177" s="194"/>
      <c r="Q177" s="194"/>
      <c r="R177" s="194"/>
    </row>
    <row r="178" ht="16.8" customHeight="1" spans="1:18" x14ac:dyDescent="0.25">
      <c r="A178" s="194"/>
      <c r="B178" s="194"/>
      <c r="C178" s="194"/>
      <c r="D178" s="194"/>
      <c r="E178" s="194"/>
      <c r="F178" s="194"/>
      <c r="G178" s="202"/>
      <c r="H178" s="203"/>
      <c r="I178" s="203"/>
      <c r="J178" s="203"/>
      <c r="K178" s="203"/>
      <c r="L178" s="204"/>
      <c r="M178" s="203"/>
      <c r="N178" s="203"/>
      <c r="O178" s="194"/>
      <c r="P178" s="194"/>
      <c r="Q178" s="194"/>
      <c r="R178" s="194"/>
    </row>
    <row r="179" ht="16.8" customHeight="1" spans="1:18" x14ac:dyDescent="0.25">
      <c r="A179" s="194"/>
      <c r="B179" s="194"/>
      <c r="C179" s="194"/>
      <c r="D179" s="194"/>
      <c r="E179" s="194"/>
      <c r="F179" s="194"/>
      <c r="G179" s="202"/>
      <c r="H179" s="203"/>
      <c r="I179" s="203"/>
      <c r="J179" s="203"/>
      <c r="K179" s="203"/>
      <c r="L179" s="204"/>
      <c r="M179" s="203"/>
      <c r="N179" s="203"/>
      <c r="O179" s="194"/>
      <c r="P179" s="194"/>
      <c r="Q179" s="194"/>
      <c r="R179" s="194"/>
    </row>
    <row r="180" ht="16.8" customHeight="1" spans="1:18" x14ac:dyDescent="0.25">
      <c r="A180" s="194"/>
      <c r="B180" s="194"/>
      <c r="C180" s="194"/>
      <c r="D180" s="194"/>
      <c r="E180" s="194"/>
      <c r="F180" s="194"/>
      <c r="G180" s="202"/>
      <c r="H180" s="203"/>
      <c r="I180" s="203"/>
      <c r="J180" s="203"/>
      <c r="K180" s="203"/>
      <c r="L180" s="204"/>
      <c r="M180" s="203"/>
      <c r="N180" s="203"/>
      <c r="O180" s="194"/>
      <c r="P180" s="194"/>
      <c r="Q180" s="194"/>
      <c r="R180" s="194"/>
    </row>
    <row r="181" ht="16.8" customHeight="1" spans="1:18" x14ac:dyDescent="0.25">
      <c r="A181" s="194"/>
      <c r="B181" s="194"/>
      <c r="C181" s="194"/>
      <c r="D181" s="194"/>
      <c r="E181" s="194"/>
      <c r="F181" s="194"/>
      <c r="G181" s="202"/>
      <c r="H181" s="203"/>
      <c r="I181" s="203"/>
      <c r="J181" s="203"/>
      <c r="K181" s="203"/>
      <c r="L181" s="204"/>
      <c r="M181" s="203"/>
      <c r="N181" s="203"/>
      <c r="O181" s="194"/>
      <c r="P181" s="194"/>
      <c r="Q181" s="194"/>
      <c r="R181" s="194"/>
    </row>
    <row r="182" ht="16.8" customHeight="1" spans="1:18" x14ac:dyDescent="0.25">
      <c r="A182" s="194"/>
      <c r="B182" s="194"/>
      <c r="C182" s="194"/>
      <c r="D182" s="194"/>
      <c r="E182" s="194"/>
      <c r="F182" s="194"/>
      <c r="G182" s="202"/>
      <c r="H182" s="203"/>
      <c r="I182" s="203"/>
      <c r="J182" s="203"/>
      <c r="K182" s="203"/>
      <c r="L182" s="204"/>
      <c r="M182" s="203"/>
      <c r="N182" s="203"/>
      <c r="O182" s="194"/>
      <c r="P182" s="194"/>
      <c r="Q182" s="194"/>
      <c r="R182" s="194"/>
    </row>
    <row r="183" ht="16.8" customHeight="1" spans="1:18" x14ac:dyDescent="0.25">
      <c r="A183" s="194"/>
      <c r="B183" s="194"/>
      <c r="C183" s="194"/>
      <c r="D183" s="194"/>
      <c r="E183" s="194"/>
      <c r="F183" s="194"/>
      <c r="G183" s="202"/>
      <c r="H183" s="203"/>
      <c r="I183" s="203"/>
      <c r="J183" s="203"/>
      <c r="K183" s="203"/>
      <c r="L183" s="204"/>
      <c r="M183" s="203"/>
      <c r="N183" s="203"/>
      <c r="O183" s="194"/>
      <c r="P183" s="194"/>
      <c r="Q183" s="194"/>
      <c r="R183" s="194"/>
    </row>
    <row r="184" ht="16.8" customHeight="1" spans="1:18" x14ac:dyDescent="0.25">
      <c r="A184" s="194"/>
      <c r="B184" s="194"/>
      <c r="C184" s="194"/>
      <c r="D184" s="194"/>
      <c r="E184" s="194"/>
      <c r="F184" s="194"/>
      <c r="G184" s="202"/>
      <c r="H184" s="203"/>
      <c r="I184" s="203"/>
      <c r="J184" s="203"/>
      <c r="K184" s="203"/>
      <c r="L184" s="204"/>
      <c r="M184" s="203"/>
      <c r="N184" s="203"/>
      <c r="O184" s="194"/>
      <c r="P184" s="194"/>
      <c r="Q184" s="194"/>
      <c r="R184" s="194"/>
    </row>
    <row r="185" ht="16.8" customHeight="1" spans="1:18" x14ac:dyDescent="0.25">
      <c r="A185" s="194"/>
      <c r="B185" s="194"/>
      <c r="C185" s="194"/>
      <c r="D185" s="194"/>
      <c r="E185" s="194"/>
      <c r="F185" s="194"/>
      <c r="G185" s="202"/>
      <c r="H185" s="203"/>
      <c r="I185" s="203"/>
      <c r="J185" s="203"/>
      <c r="K185" s="203"/>
      <c r="L185" s="204"/>
      <c r="M185" s="203"/>
      <c r="N185" s="203"/>
      <c r="O185" s="194"/>
      <c r="P185" s="194"/>
      <c r="Q185" s="194"/>
      <c r="R185" s="194"/>
    </row>
    <row r="186" ht="16.8" customHeight="1" spans="1:18" x14ac:dyDescent="0.25">
      <c r="A186" s="194"/>
      <c r="B186" s="194"/>
      <c r="C186" s="194"/>
      <c r="D186" s="194"/>
      <c r="E186" s="194"/>
      <c r="F186" s="194"/>
      <c r="G186" s="202"/>
      <c r="H186" s="203"/>
      <c r="I186" s="203"/>
      <c r="J186" s="203"/>
      <c r="K186" s="203"/>
      <c r="L186" s="204"/>
      <c r="M186" s="203"/>
      <c r="N186" s="203"/>
      <c r="O186" s="194"/>
      <c r="P186" s="194"/>
      <c r="Q186" s="194"/>
      <c r="R186" s="194"/>
    </row>
    <row r="187" ht="16.8" customHeight="1" spans="1:18" x14ac:dyDescent="0.25">
      <c r="A187" s="194"/>
      <c r="B187" s="194"/>
      <c r="C187" s="194"/>
      <c r="D187" s="194"/>
      <c r="E187" s="194"/>
      <c r="F187" s="194"/>
      <c r="G187" s="202"/>
      <c r="H187" s="203"/>
      <c r="I187" s="203"/>
      <c r="J187" s="203"/>
      <c r="K187" s="203"/>
      <c r="L187" s="204"/>
      <c r="M187" s="203"/>
      <c r="N187" s="203"/>
      <c r="O187" s="194"/>
      <c r="P187" s="194"/>
      <c r="Q187" s="194"/>
      <c r="R187" s="194"/>
    </row>
    <row r="188" ht="16.8" customHeight="1" spans="1:18" x14ac:dyDescent="0.25">
      <c r="A188" s="194"/>
      <c r="B188" s="194"/>
      <c r="C188" s="194"/>
      <c r="D188" s="194"/>
      <c r="E188" s="194"/>
      <c r="F188" s="194"/>
      <c r="G188" s="202"/>
      <c r="H188" s="203"/>
      <c r="I188" s="203"/>
      <c r="J188" s="203"/>
      <c r="K188" s="203"/>
      <c r="L188" s="204"/>
      <c r="M188" s="203"/>
      <c r="N188" s="203"/>
      <c r="O188" s="194"/>
      <c r="P188" s="194"/>
      <c r="Q188" s="194"/>
      <c r="R188" s="194"/>
    </row>
    <row r="189" ht="16.8" customHeight="1" spans="1:18" x14ac:dyDescent="0.25">
      <c r="A189" s="194"/>
      <c r="B189" s="194"/>
      <c r="C189" s="194"/>
      <c r="D189" s="194"/>
      <c r="E189" s="194"/>
      <c r="F189" s="194"/>
      <c r="G189" s="202"/>
      <c r="H189" s="203"/>
      <c r="I189" s="203"/>
      <c r="J189" s="203"/>
      <c r="K189" s="203"/>
      <c r="L189" s="204"/>
      <c r="M189" s="203"/>
      <c r="N189" s="203"/>
      <c r="O189" s="194"/>
      <c r="P189" s="194"/>
      <c r="Q189" s="194"/>
      <c r="R189" s="194"/>
    </row>
    <row r="190" ht="16.8" customHeight="1" spans="1:18" x14ac:dyDescent="0.25">
      <c r="A190" s="194"/>
      <c r="B190" s="194"/>
      <c r="C190" s="194"/>
      <c r="D190" s="194"/>
      <c r="E190" s="194"/>
      <c r="F190" s="194"/>
      <c r="G190" s="202"/>
      <c r="H190" s="203"/>
      <c r="I190" s="203"/>
      <c r="J190" s="203"/>
      <c r="K190" s="203"/>
      <c r="L190" s="204"/>
      <c r="M190" s="203"/>
      <c r="N190" s="203"/>
      <c r="O190" s="194"/>
      <c r="P190" s="194"/>
      <c r="Q190" s="194"/>
      <c r="R190" s="194"/>
    </row>
    <row r="191" ht="16.8" customHeight="1" spans="1:18" x14ac:dyDescent="0.25">
      <c r="A191" s="194"/>
      <c r="B191" s="194"/>
      <c r="C191" s="194"/>
      <c r="D191" s="194"/>
      <c r="E191" s="194"/>
      <c r="F191" s="194"/>
      <c r="G191" s="202"/>
      <c r="H191" s="203"/>
      <c r="I191" s="203"/>
      <c r="J191" s="203"/>
      <c r="K191" s="203"/>
      <c r="L191" s="204"/>
      <c r="M191" s="203"/>
      <c r="N191" s="203"/>
      <c r="O191" s="194"/>
      <c r="P191" s="194"/>
      <c r="Q191" s="194"/>
      <c r="R191" s="194"/>
    </row>
    <row r="192" ht="16.8" customHeight="1" spans="1:18" x14ac:dyDescent="0.25">
      <c r="A192" s="194"/>
      <c r="B192" s="194"/>
      <c r="C192" s="194"/>
      <c r="D192" s="194"/>
      <c r="E192" s="194"/>
      <c r="F192" s="194"/>
      <c r="G192" s="202"/>
      <c r="H192" s="203"/>
      <c r="I192" s="203"/>
      <c r="J192" s="203"/>
      <c r="K192" s="203"/>
      <c r="L192" s="204"/>
      <c r="M192" s="203"/>
      <c r="N192" s="203"/>
      <c r="O192" s="194"/>
      <c r="P192" s="194"/>
      <c r="Q192" s="194"/>
      <c r="R192" s="194"/>
    </row>
    <row r="193" ht="16.8" customHeight="1" spans="1:18" x14ac:dyDescent="0.25">
      <c r="A193" s="194"/>
      <c r="B193" s="194"/>
      <c r="C193" s="194"/>
      <c r="D193" s="194"/>
      <c r="E193" s="194"/>
      <c r="F193" s="194"/>
      <c r="G193" s="202"/>
      <c r="H193" s="203"/>
      <c r="I193" s="203"/>
      <c r="J193" s="203"/>
      <c r="K193" s="203"/>
      <c r="L193" s="204"/>
      <c r="M193" s="203"/>
      <c r="N193" s="203"/>
      <c r="O193" s="194"/>
      <c r="P193" s="194"/>
      <c r="Q193" s="194"/>
      <c r="R193" s="194"/>
    </row>
    <row r="194" ht="16.8" customHeight="1" spans="1:18" x14ac:dyDescent="0.25">
      <c r="A194" s="194"/>
      <c r="B194" s="194"/>
      <c r="C194" s="194"/>
      <c r="D194" s="194"/>
      <c r="E194" s="194"/>
      <c r="F194" s="194"/>
      <c r="G194" s="202"/>
      <c r="H194" s="203"/>
      <c r="I194" s="203"/>
      <c r="J194" s="203"/>
      <c r="K194" s="203"/>
      <c r="L194" s="204"/>
      <c r="M194" s="203"/>
      <c r="N194" s="203"/>
      <c r="O194" s="194"/>
      <c r="P194" s="194"/>
      <c r="Q194" s="194"/>
      <c r="R194" s="194"/>
    </row>
    <row r="195" ht="16.8" customHeight="1" spans="1:18" x14ac:dyDescent="0.25">
      <c r="A195" s="194"/>
      <c r="B195" s="194"/>
      <c r="C195" s="194"/>
      <c r="D195" s="194"/>
      <c r="E195" s="194"/>
      <c r="F195" s="194"/>
      <c r="G195" s="202"/>
      <c r="H195" s="203"/>
      <c r="I195" s="203"/>
      <c r="J195" s="203"/>
      <c r="K195" s="203"/>
      <c r="L195" s="204"/>
      <c r="M195" s="203"/>
      <c r="N195" s="203"/>
      <c r="O195" s="194"/>
      <c r="P195" s="194"/>
      <c r="Q195" s="194"/>
      <c r="R195" s="194"/>
    </row>
    <row r="196" ht="16.8" customHeight="1" spans="1:18" x14ac:dyDescent="0.25">
      <c r="A196" s="194"/>
      <c r="B196" s="194"/>
      <c r="C196" s="194"/>
      <c r="D196" s="194"/>
      <c r="E196" s="194"/>
      <c r="F196" s="194"/>
      <c r="G196" s="202"/>
      <c r="H196" s="203"/>
      <c r="I196" s="203"/>
      <c r="J196" s="203"/>
      <c r="K196" s="203"/>
      <c r="L196" s="204"/>
      <c r="M196" s="203"/>
      <c r="N196" s="203"/>
      <c r="O196" s="194"/>
      <c r="P196" s="194"/>
      <c r="Q196" s="194"/>
      <c r="R196" s="194"/>
    </row>
    <row r="197" ht="16.8" customHeight="1" spans="1:18" x14ac:dyDescent="0.25">
      <c r="A197" s="194"/>
      <c r="B197" s="194"/>
      <c r="C197" s="194"/>
      <c r="D197" s="194"/>
      <c r="E197" s="194"/>
      <c r="F197" s="194"/>
      <c r="G197" s="202"/>
      <c r="H197" s="203"/>
      <c r="I197" s="203"/>
      <c r="J197" s="203"/>
      <c r="K197" s="203"/>
      <c r="L197" s="204"/>
      <c r="M197" s="203"/>
      <c r="N197" s="203"/>
      <c r="O197" s="194"/>
      <c r="P197" s="194"/>
      <c r="Q197" s="194"/>
      <c r="R197" s="194"/>
    </row>
    <row r="198" ht="16.8" customHeight="1" spans="1:18" x14ac:dyDescent="0.25">
      <c r="A198" s="194"/>
      <c r="B198" s="194"/>
      <c r="C198" s="194"/>
      <c r="D198" s="194"/>
      <c r="E198" s="194"/>
      <c r="F198" s="194"/>
      <c r="G198" s="202"/>
      <c r="H198" s="203"/>
      <c r="I198" s="203"/>
      <c r="J198" s="203"/>
      <c r="K198" s="203"/>
      <c r="L198" s="204"/>
      <c r="M198" s="203"/>
      <c r="N198" s="203"/>
      <c r="O198" s="194"/>
      <c r="P198" s="194"/>
      <c r="Q198" s="194"/>
      <c r="R198" s="194"/>
    </row>
    <row r="199" ht="16.8" customHeight="1" spans="1:18" x14ac:dyDescent="0.25">
      <c r="A199" s="194"/>
      <c r="B199" s="194"/>
      <c r="C199" s="194"/>
      <c r="D199" s="194"/>
      <c r="E199" s="194"/>
      <c r="F199" s="194"/>
      <c r="G199" s="202"/>
      <c r="H199" s="203"/>
      <c r="I199" s="203"/>
      <c r="J199" s="203"/>
      <c r="K199" s="203"/>
      <c r="L199" s="204"/>
      <c r="M199" s="203"/>
      <c r="N199" s="203"/>
      <c r="O199" s="194"/>
      <c r="P199" s="194"/>
      <c r="Q199" s="194"/>
      <c r="R199" s="194"/>
    </row>
    <row r="200" ht="16.8" customHeight="1" spans="1:18" x14ac:dyDescent="0.25">
      <c r="A200" s="194"/>
      <c r="B200" s="194"/>
      <c r="C200" s="194"/>
      <c r="D200" s="194"/>
      <c r="E200" s="194"/>
      <c r="F200" s="194"/>
      <c r="G200" s="202"/>
      <c r="H200" s="203"/>
      <c r="I200" s="203"/>
      <c r="J200" s="203"/>
      <c r="K200" s="203"/>
      <c r="L200" s="204"/>
      <c r="M200" s="203"/>
      <c r="N200" s="203"/>
      <c r="O200" s="194"/>
      <c r="P200" s="194"/>
      <c r="Q200" s="194"/>
      <c r="R200" s="194"/>
    </row>
    <row r="201" ht="16.8" customHeight="1" spans="1:18" x14ac:dyDescent="0.25">
      <c r="A201" s="194"/>
      <c r="B201" s="194"/>
      <c r="C201" s="194"/>
      <c r="D201" s="194"/>
      <c r="E201" s="194"/>
      <c r="F201" s="194"/>
      <c r="G201" s="202"/>
      <c r="H201" s="203"/>
      <c r="I201" s="203"/>
      <c r="J201" s="203"/>
      <c r="K201" s="203"/>
      <c r="L201" s="204"/>
      <c r="M201" s="203"/>
      <c r="N201" s="203"/>
      <c r="O201" s="194"/>
      <c r="P201" s="194"/>
      <c r="Q201" s="194"/>
      <c r="R201" s="194"/>
    </row>
    <row r="202" ht="16.8" customHeight="1" spans="1:18" x14ac:dyDescent="0.25">
      <c r="A202" s="194"/>
      <c r="B202" s="194"/>
      <c r="C202" s="194"/>
      <c r="D202" s="194"/>
      <c r="E202" s="194"/>
      <c r="F202" s="194"/>
      <c r="G202" s="202"/>
      <c r="H202" s="203"/>
      <c r="I202" s="203"/>
      <c r="J202" s="203"/>
      <c r="K202" s="203"/>
      <c r="L202" s="204"/>
      <c r="M202" s="203"/>
      <c r="N202" s="203"/>
      <c r="O202" s="194"/>
      <c r="P202" s="194"/>
      <c r="Q202" s="194"/>
      <c r="R202" s="194"/>
    </row>
    <row r="203" ht="16.8" customHeight="1" spans="1:18" x14ac:dyDescent="0.25">
      <c r="A203" s="194"/>
      <c r="B203" s="194"/>
      <c r="C203" s="194"/>
      <c r="D203" s="194"/>
      <c r="E203" s="194"/>
      <c r="F203" s="194"/>
      <c r="G203" s="202"/>
      <c r="H203" s="203"/>
      <c r="I203" s="203"/>
      <c r="J203" s="203"/>
      <c r="K203" s="203"/>
      <c r="L203" s="204"/>
      <c r="M203" s="203"/>
      <c r="N203" s="203"/>
      <c r="O203" s="194"/>
      <c r="P203" s="194"/>
      <c r="Q203" s="194"/>
      <c r="R203" s="194"/>
    </row>
    <row r="204" ht="16.8" customHeight="1" spans="1:18" x14ac:dyDescent="0.25">
      <c r="A204" s="194"/>
      <c r="B204" s="194"/>
      <c r="C204" s="194"/>
      <c r="D204" s="194"/>
      <c r="E204" s="194"/>
      <c r="F204" s="194"/>
      <c r="G204" s="202"/>
      <c r="H204" s="203"/>
      <c r="I204" s="203"/>
      <c r="J204" s="203"/>
      <c r="K204" s="203"/>
      <c r="L204" s="204"/>
      <c r="M204" s="203"/>
      <c r="N204" s="203"/>
      <c r="O204" s="194"/>
      <c r="P204" s="194"/>
      <c r="Q204" s="194"/>
      <c r="R204" s="194"/>
    </row>
    <row r="205" ht="16.8" customHeight="1" spans="1:18" x14ac:dyDescent="0.25">
      <c r="A205" s="194"/>
      <c r="B205" s="194"/>
      <c r="C205" s="194"/>
      <c r="D205" s="194"/>
      <c r="E205" s="194"/>
      <c r="F205" s="194"/>
      <c r="G205" s="202"/>
      <c r="H205" s="203"/>
      <c r="I205" s="203"/>
      <c r="J205" s="203"/>
      <c r="K205" s="203"/>
      <c r="L205" s="204"/>
      <c r="M205" s="203"/>
      <c r="N205" s="203"/>
      <c r="O205" s="194"/>
      <c r="P205" s="194"/>
      <c r="Q205" s="194"/>
      <c r="R205" s="194"/>
    </row>
    <row r="206" ht="16.8" customHeight="1" spans="1:18" x14ac:dyDescent="0.25">
      <c r="A206" s="194"/>
      <c r="B206" s="194"/>
      <c r="C206" s="194"/>
      <c r="D206" s="194"/>
      <c r="E206" s="194"/>
      <c r="F206" s="194"/>
      <c r="G206" s="202"/>
      <c r="H206" s="203"/>
      <c r="I206" s="203"/>
      <c r="J206" s="203"/>
      <c r="K206" s="203"/>
      <c r="L206" s="204"/>
      <c r="M206" s="203"/>
      <c r="N206" s="203"/>
      <c r="O206" s="194"/>
      <c r="P206" s="194"/>
      <c r="Q206" s="194"/>
      <c r="R206" s="194"/>
    </row>
    <row r="207" ht="16.8" customHeight="1" spans="1:18" x14ac:dyDescent="0.25">
      <c r="A207" s="194"/>
      <c r="B207" s="194"/>
      <c r="C207" s="194"/>
      <c r="D207" s="194"/>
      <c r="E207" s="194"/>
      <c r="F207" s="194"/>
      <c r="G207" s="202"/>
      <c r="H207" s="203"/>
      <c r="I207" s="203"/>
      <c r="J207" s="203"/>
      <c r="K207" s="203"/>
      <c r="L207" s="204"/>
      <c r="M207" s="203"/>
      <c r="N207" s="203"/>
      <c r="O207" s="194"/>
      <c r="P207" s="194"/>
      <c r="Q207" s="194"/>
      <c r="R207" s="194"/>
    </row>
    <row r="208" ht="16.8" customHeight="1" spans="1:18" x14ac:dyDescent="0.25">
      <c r="A208" s="194"/>
      <c r="B208" s="194"/>
      <c r="C208" s="194"/>
      <c r="D208" s="194"/>
      <c r="E208" s="194"/>
      <c r="F208" s="194"/>
      <c r="G208" s="202"/>
      <c r="H208" s="203"/>
      <c r="I208" s="203"/>
      <c r="J208" s="203"/>
      <c r="K208" s="203"/>
      <c r="L208" s="204"/>
      <c r="M208" s="203"/>
      <c r="N208" s="203"/>
      <c r="O208" s="194"/>
      <c r="P208" s="194"/>
      <c r="Q208" s="194"/>
      <c r="R208" s="194"/>
    </row>
    <row r="209" ht="16.8" customHeight="1" spans="1:18" x14ac:dyDescent="0.25">
      <c r="A209" s="194"/>
      <c r="B209" s="194"/>
      <c r="C209" s="194"/>
      <c r="D209" s="194"/>
      <c r="E209" s="194"/>
      <c r="F209" s="194"/>
      <c r="G209" s="202"/>
      <c r="H209" s="203"/>
      <c r="I209" s="203"/>
      <c r="J209" s="203"/>
      <c r="K209" s="203"/>
      <c r="L209" s="204"/>
      <c r="M209" s="203"/>
      <c r="N209" s="203"/>
      <c r="O209" s="194"/>
      <c r="P209" s="194"/>
      <c r="Q209" s="194"/>
      <c r="R209" s="194"/>
    </row>
    <row r="210" ht="16.8" customHeight="1" spans="1:18" x14ac:dyDescent="0.25">
      <c r="A210" s="194"/>
      <c r="B210" s="194"/>
      <c r="C210" s="194"/>
      <c r="D210" s="194"/>
      <c r="E210" s="194"/>
      <c r="F210" s="194"/>
      <c r="G210" s="202"/>
      <c r="H210" s="203"/>
      <c r="I210" s="203"/>
      <c r="J210" s="203"/>
      <c r="K210" s="203"/>
      <c r="L210" s="204"/>
      <c r="M210" s="203"/>
      <c r="N210" s="203"/>
      <c r="O210" s="194"/>
      <c r="P210" s="194"/>
      <c r="Q210" s="194"/>
      <c r="R210" s="194"/>
    </row>
    <row r="211" ht="16.8" customHeight="1" spans="1:18" x14ac:dyDescent="0.25">
      <c r="A211" s="194"/>
      <c r="B211" s="194"/>
      <c r="C211" s="194"/>
      <c r="D211" s="194"/>
      <c r="E211" s="194"/>
      <c r="F211" s="194"/>
      <c r="G211" s="202"/>
      <c r="H211" s="203"/>
      <c r="I211" s="203"/>
      <c r="J211" s="203"/>
      <c r="K211" s="203"/>
      <c r="L211" s="204"/>
      <c r="M211" s="203"/>
      <c r="N211" s="203"/>
      <c r="O211" s="194"/>
      <c r="P211" s="194"/>
      <c r="Q211" s="194"/>
      <c r="R211" s="194"/>
    </row>
    <row r="212" ht="16.8" customHeight="1" spans="1:18" x14ac:dyDescent="0.25">
      <c r="A212" s="194"/>
      <c r="B212" s="194"/>
      <c r="C212" s="194"/>
      <c r="D212" s="194"/>
      <c r="E212" s="194"/>
      <c r="F212" s="194"/>
      <c r="G212" s="202"/>
      <c r="H212" s="203"/>
      <c r="I212" s="203"/>
      <c r="J212" s="203"/>
      <c r="K212" s="203"/>
      <c r="L212" s="204"/>
      <c r="M212" s="203"/>
      <c r="N212" s="203"/>
      <c r="O212" s="194"/>
      <c r="P212" s="194"/>
      <c r="Q212" s="194"/>
      <c r="R212" s="194"/>
    </row>
    <row r="213" ht="16.8" customHeight="1" spans="1:18" x14ac:dyDescent="0.25">
      <c r="A213" s="194"/>
      <c r="B213" s="194"/>
      <c r="C213" s="194"/>
      <c r="D213" s="194"/>
      <c r="E213" s="194"/>
      <c r="F213" s="194"/>
      <c r="G213" s="202"/>
      <c r="H213" s="203"/>
      <c r="I213" s="203"/>
      <c r="J213" s="203"/>
      <c r="K213" s="203"/>
      <c r="L213" s="204"/>
      <c r="M213" s="203"/>
      <c r="N213" s="203"/>
      <c r="O213" s="194"/>
      <c r="P213" s="194"/>
      <c r="Q213" s="194"/>
      <c r="R213" s="194"/>
    </row>
    <row r="214" ht="16.8" customHeight="1" spans="1:18" x14ac:dyDescent="0.25">
      <c r="A214" s="194"/>
      <c r="B214" s="194"/>
      <c r="C214" s="194"/>
      <c r="D214" s="194"/>
      <c r="E214" s="194"/>
      <c r="F214" s="194"/>
      <c r="G214" s="202"/>
      <c r="H214" s="203"/>
      <c r="I214" s="203"/>
      <c r="J214" s="203"/>
      <c r="K214" s="203"/>
      <c r="L214" s="204"/>
      <c r="M214" s="203"/>
      <c r="N214" s="203"/>
      <c r="O214" s="194"/>
      <c r="P214" s="194"/>
      <c r="Q214" s="194"/>
      <c r="R214" s="194"/>
    </row>
    <row r="215" ht="16.8" customHeight="1" spans="1:18" x14ac:dyDescent="0.25">
      <c r="A215" s="194"/>
      <c r="B215" s="194"/>
      <c r="C215" s="194"/>
      <c r="D215" s="194"/>
      <c r="E215" s="194"/>
      <c r="F215" s="194"/>
      <c r="G215" s="202"/>
      <c r="H215" s="203"/>
      <c r="I215" s="203"/>
      <c r="J215" s="203"/>
      <c r="K215" s="203"/>
      <c r="L215" s="204"/>
      <c r="M215" s="203"/>
      <c r="N215" s="203"/>
      <c r="O215" s="194"/>
      <c r="P215" s="194"/>
      <c r="Q215" s="194"/>
      <c r="R215" s="194"/>
    </row>
    <row r="216" ht="16.8" customHeight="1" spans="1:18" x14ac:dyDescent="0.25">
      <c r="A216" s="194"/>
      <c r="B216" s="194"/>
      <c r="C216" s="194"/>
      <c r="D216" s="194"/>
      <c r="E216" s="194"/>
      <c r="F216" s="194"/>
      <c r="G216" s="202"/>
      <c r="H216" s="203"/>
      <c r="I216" s="203"/>
      <c r="J216" s="203"/>
      <c r="K216" s="203"/>
      <c r="L216" s="204"/>
      <c r="M216" s="203"/>
      <c r="N216" s="203"/>
      <c r="O216" s="194"/>
      <c r="P216" s="194"/>
      <c r="Q216" s="194"/>
      <c r="R216" s="194"/>
    </row>
    <row r="217" ht="16.8" customHeight="1" spans="1:18" x14ac:dyDescent="0.25">
      <c r="A217" s="194"/>
      <c r="B217" s="194"/>
      <c r="C217" s="194"/>
      <c r="D217" s="194"/>
      <c r="E217" s="194"/>
      <c r="F217" s="194"/>
      <c r="G217" s="202"/>
      <c r="H217" s="203"/>
      <c r="I217" s="203"/>
      <c r="J217" s="203"/>
      <c r="K217" s="203"/>
      <c r="L217" s="204"/>
      <c r="M217" s="203"/>
      <c r="N217" s="203"/>
      <c r="O217" s="194"/>
      <c r="P217" s="194"/>
      <c r="Q217" s="194"/>
      <c r="R217" s="194"/>
    </row>
    <row r="218" ht="16.8" customHeight="1" spans="1:18" x14ac:dyDescent="0.25">
      <c r="A218" s="194"/>
      <c r="B218" s="194"/>
      <c r="C218" s="194"/>
      <c r="D218" s="194"/>
      <c r="E218" s="194"/>
      <c r="F218" s="194"/>
      <c r="G218" s="202"/>
      <c r="H218" s="203"/>
      <c r="I218" s="203"/>
      <c r="J218" s="203"/>
      <c r="K218" s="203"/>
      <c r="L218" s="204"/>
      <c r="M218" s="203"/>
      <c r="N218" s="203"/>
      <c r="O218" s="194"/>
      <c r="P218" s="194"/>
      <c r="Q218" s="194"/>
      <c r="R218" s="194"/>
    </row>
    <row r="219" ht="16.8" customHeight="1" spans="1:18" x14ac:dyDescent="0.25">
      <c r="A219" s="194"/>
      <c r="B219" s="194"/>
      <c r="C219" s="194"/>
      <c r="D219" s="194"/>
      <c r="E219" s="194"/>
      <c r="F219" s="194"/>
      <c r="G219" s="202"/>
      <c r="H219" s="203"/>
      <c r="I219" s="203"/>
      <c r="J219" s="203"/>
      <c r="K219" s="203"/>
      <c r="L219" s="204"/>
      <c r="M219" s="203"/>
      <c r="N219" s="203"/>
      <c r="O219" s="194"/>
      <c r="P219" s="194"/>
      <c r="Q219" s="194"/>
      <c r="R219" s="194"/>
    </row>
    <row r="220" ht="16.8" customHeight="1" spans="1:18" x14ac:dyDescent="0.25">
      <c r="A220" s="194"/>
      <c r="B220" s="194"/>
      <c r="C220" s="194"/>
      <c r="D220" s="194"/>
      <c r="E220" s="194"/>
      <c r="F220" s="194"/>
      <c r="G220" s="202"/>
      <c r="H220" s="203"/>
      <c r="I220" s="203"/>
      <c r="J220" s="203"/>
      <c r="K220" s="203"/>
      <c r="L220" s="204"/>
      <c r="M220" s="203"/>
      <c r="N220" s="203"/>
      <c r="O220" s="194"/>
      <c r="P220" s="194"/>
      <c r="Q220" s="194"/>
      <c r="R220" s="194"/>
    </row>
    <row r="221" ht="16.8" customHeight="1" spans="1:18" x14ac:dyDescent="0.25">
      <c r="A221" s="194"/>
      <c r="B221" s="194"/>
      <c r="C221" s="194"/>
      <c r="D221" s="194"/>
      <c r="E221" s="194"/>
      <c r="F221" s="194"/>
      <c r="G221" s="202"/>
      <c r="H221" s="203"/>
      <c r="I221" s="203"/>
      <c r="J221" s="203"/>
      <c r="K221" s="203"/>
      <c r="L221" s="204"/>
      <c r="M221" s="203"/>
      <c r="N221" s="203"/>
      <c r="O221" s="194"/>
      <c r="P221" s="194"/>
      <c r="Q221" s="194"/>
      <c r="R221" s="194"/>
    </row>
    <row r="222" ht="16.8" customHeight="1" spans="1:18" x14ac:dyDescent="0.25">
      <c r="A222" s="194"/>
      <c r="B222" s="194"/>
      <c r="C222" s="194"/>
      <c r="D222" s="194"/>
      <c r="E222" s="194"/>
      <c r="F222" s="194"/>
      <c r="G222" s="202"/>
      <c r="H222" s="203"/>
      <c r="I222" s="203"/>
      <c r="J222" s="203"/>
      <c r="K222" s="203"/>
      <c r="L222" s="204"/>
      <c r="M222" s="203"/>
      <c r="N222" s="203"/>
      <c r="O222" s="194"/>
      <c r="P222" s="194"/>
      <c r="Q222" s="194"/>
      <c r="R222" s="194"/>
    </row>
    <row r="223" ht="16.8" customHeight="1" spans="1:18" x14ac:dyDescent="0.25">
      <c r="A223" s="194"/>
      <c r="B223" s="194"/>
      <c r="C223" s="194"/>
      <c r="D223" s="194"/>
      <c r="E223" s="194"/>
      <c r="F223" s="194"/>
      <c r="G223" s="202"/>
      <c r="H223" s="203"/>
      <c r="I223" s="203"/>
      <c r="J223" s="203"/>
      <c r="K223" s="203"/>
      <c r="L223" s="204"/>
      <c r="M223" s="203"/>
      <c r="N223" s="203"/>
      <c r="O223" s="194"/>
      <c r="P223" s="194"/>
      <c r="Q223" s="194"/>
      <c r="R223" s="194"/>
    </row>
    <row r="224" ht="16.8" customHeight="1" spans="1:18" x14ac:dyDescent="0.25">
      <c r="A224" s="194"/>
      <c r="B224" s="194"/>
      <c r="C224" s="194"/>
      <c r="D224" s="194"/>
      <c r="E224" s="194"/>
      <c r="F224" s="194"/>
      <c r="G224" s="202"/>
      <c r="H224" s="203"/>
      <c r="I224" s="203"/>
      <c r="J224" s="203"/>
      <c r="K224" s="203"/>
      <c r="L224" s="204"/>
      <c r="M224" s="203"/>
      <c r="N224" s="203"/>
      <c r="O224" s="194"/>
      <c r="P224" s="194"/>
      <c r="Q224" s="194"/>
      <c r="R224" s="194"/>
    </row>
    <row r="225" ht="16.8" customHeight="1" spans="1:18" x14ac:dyDescent="0.25">
      <c r="A225" s="194"/>
      <c r="B225" s="194"/>
      <c r="C225" s="194"/>
      <c r="D225" s="194"/>
      <c r="E225" s="194"/>
      <c r="F225" s="194"/>
      <c r="G225" s="202"/>
      <c r="H225" s="203"/>
      <c r="I225" s="203"/>
      <c r="J225" s="203"/>
      <c r="K225" s="203"/>
      <c r="L225" s="204"/>
      <c r="M225" s="203"/>
      <c r="N225" s="203"/>
      <c r="O225" s="194"/>
      <c r="P225" s="194"/>
      <c r="Q225" s="194"/>
      <c r="R225" s="194"/>
    </row>
    <row r="226" ht="16.8" customHeight="1" spans="1:18" x14ac:dyDescent="0.25">
      <c r="A226" s="194"/>
      <c r="B226" s="194"/>
      <c r="C226" s="194"/>
      <c r="D226" s="194"/>
      <c r="E226" s="194"/>
      <c r="F226" s="194"/>
      <c r="G226" s="202"/>
      <c r="H226" s="203"/>
      <c r="I226" s="203"/>
      <c r="J226" s="203"/>
      <c r="K226" s="203"/>
      <c r="L226" s="204"/>
      <c r="M226" s="203"/>
      <c r="N226" s="203"/>
      <c r="O226" s="194"/>
      <c r="P226" s="194"/>
      <c r="Q226" s="194"/>
      <c r="R226" s="194"/>
    </row>
    <row r="227" ht="16.8" customHeight="1" spans="1:18" x14ac:dyDescent="0.25">
      <c r="A227" s="194"/>
      <c r="B227" s="194"/>
      <c r="C227" s="194"/>
      <c r="D227" s="194"/>
      <c r="E227" s="194"/>
      <c r="F227" s="194"/>
      <c r="G227" s="202"/>
      <c r="H227" s="203"/>
      <c r="I227" s="203"/>
      <c r="J227" s="203"/>
      <c r="K227" s="203"/>
      <c r="L227" s="204"/>
      <c r="M227" s="203"/>
      <c r="N227" s="203"/>
      <c r="O227" s="194"/>
      <c r="P227" s="194"/>
      <c r="Q227" s="194"/>
      <c r="R227" s="194"/>
    </row>
    <row r="228" ht="16.8" customHeight="1" spans="1:18" x14ac:dyDescent="0.25">
      <c r="A228" s="194"/>
      <c r="B228" s="194"/>
      <c r="C228" s="194"/>
      <c r="D228" s="194"/>
      <c r="E228" s="194"/>
      <c r="F228" s="194"/>
      <c r="G228" s="202"/>
      <c r="H228" s="203"/>
      <c r="I228" s="203"/>
      <c r="J228" s="203"/>
      <c r="K228" s="203"/>
      <c r="L228" s="204"/>
      <c r="M228" s="203"/>
      <c r="N228" s="203"/>
      <c r="O228" s="194"/>
      <c r="P228" s="194"/>
      <c r="Q228" s="194"/>
      <c r="R228" s="194"/>
    </row>
    <row r="229" ht="16.8" customHeight="1" spans="1:18" x14ac:dyDescent="0.25">
      <c r="A229" s="194"/>
      <c r="B229" s="194"/>
      <c r="C229" s="194"/>
      <c r="D229" s="194"/>
      <c r="E229" s="194"/>
      <c r="F229" s="194"/>
      <c r="G229" s="202"/>
      <c r="H229" s="203"/>
      <c r="I229" s="203"/>
      <c r="J229" s="203"/>
      <c r="K229" s="203"/>
      <c r="L229" s="204"/>
      <c r="M229" s="203"/>
      <c r="N229" s="203"/>
      <c r="O229" s="194"/>
      <c r="P229" s="194"/>
      <c r="Q229" s="194"/>
      <c r="R229" s="194"/>
    </row>
    <row r="230" ht="16.8" customHeight="1" spans="1:18" x14ac:dyDescent="0.25">
      <c r="A230" s="194"/>
      <c r="B230" s="194"/>
      <c r="C230" s="194"/>
      <c r="D230" s="194"/>
      <c r="E230" s="194"/>
      <c r="F230" s="194"/>
      <c r="G230" s="202"/>
      <c r="H230" s="203"/>
      <c r="I230" s="203"/>
      <c r="J230" s="203"/>
      <c r="K230" s="203"/>
      <c r="L230" s="204"/>
      <c r="M230" s="203"/>
      <c r="N230" s="203"/>
      <c r="O230" s="194"/>
      <c r="P230" s="194"/>
      <c r="Q230" s="194"/>
      <c r="R230" s="194"/>
    </row>
    <row r="231" ht="16.8" customHeight="1" spans="1:18" x14ac:dyDescent="0.25">
      <c r="A231" s="194"/>
      <c r="B231" s="194"/>
      <c r="C231" s="194"/>
      <c r="D231" s="194"/>
      <c r="E231" s="194"/>
      <c r="F231" s="194"/>
      <c r="G231" s="202"/>
      <c r="H231" s="203"/>
      <c r="I231" s="203"/>
      <c r="J231" s="203"/>
      <c r="K231" s="203"/>
      <c r="L231" s="204"/>
      <c r="M231" s="203"/>
      <c r="N231" s="203"/>
      <c r="O231" s="194"/>
      <c r="P231" s="194"/>
      <c r="Q231" s="194"/>
      <c r="R231" s="194"/>
    </row>
    <row r="232" ht="16.8" customHeight="1" spans="1:18" x14ac:dyDescent="0.25">
      <c r="A232" s="194"/>
      <c r="B232" s="194"/>
      <c r="C232" s="194"/>
      <c r="D232" s="194"/>
      <c r="E232" s="194"/>
      <c r="F232" s="194"/>
      <c r="G232" s="202"/>
      <c r="H232" s="203"/>
      <c r="I232" s="203"/>
      <c r="J232" s="203"/>
      <c r="K232" s="203"/>
      <c r="L232" s="204"/>
      <c r="M232" s="203"/>
      <c r="N232" s="203"/>
      <c r="O232" s="194"/>
      <c r="P232" s="194"/>
      <c r="Q232" s="194"/>
      <c r="R232" s="194"/>
    </row>
    <row r="233" ht="16.8" customHeight="1" spans="1:18" x14ac:dyDescent="0.25">
      <c r="A233" s="194"/>
      <c r="B233" s="194"/>
      <c r="C233" s="194"/>
      <c r="D233" s="194"/>
      <c r="E233" s="194"/>
      <c r="F233" s="194"/>
      <c r="G233" s="202"/>
      <c r="H233" s="203"/>
      <c r="I233" s="203"/>
      <c r="J233" s="203"/>
      <c r="K233" s="203"/>
      <c r="L233" s="204"/>
      <c r="M233" s="203"/>
      <c r="N233" s="203"/>
      <c r="O233" s="194"/>
      <c r="P233" s="194"/>
      <c r="Q233" s="194"/>
      <c r="R233" s="194"/>
    </row>
    <row r="234" ht="16.8" customHeight="1" spans="1:18" x14ac:dyDescent="0.25">
      <c r="A234" s="194"/>
      <c r="B234" s="194"/>
      <c r="C234" s="194"/>
      <c r="D234" s="194"/>
      <c r="E234" s="194"/>
      <c r="F234" s="194"/>
      <c r="G234" s="202"/>
      <c r="H234" s="203"/>
      <c r="I234" s="203"/>
      <c r="J234" s="203"/>
      <c r="K234" s="203"/>
      <c r="L234" s="204"/>
      <c r="M234" s="203"/>
      <c r="N234" s="203"/>
      <c r="O234" s="194"/>
      <c r="P234" s="194"/>
      <c r="Q234" s="194"/>
      <c r="R234" s="194"/>
    </row>
    <row r="235" ht="16.8" customHeight="1" spans="1:18" x14ac:dyDescent="0.25">
      <c r="A235" s="194"/>
      <c r="B235" s="194"/>
      <c r="C235" s="194"/>
      <c r="D235" s="194"/>
      <c r="E235" s="194"/>
      <c r="F235" s="194"/>
      <c r="G235" s="202"/>
      <c r="H235" s="203"/>
      <c r="I235" s="203"/>
      <c r="J235" s="203"/>
      <c r="K235" s="203"/>
      <c r="L235" s="204"/>
      <c r="M235" s="203"/>
      <c r="N235" s="203"/>
      <c r="O235" s="194"/>
      <c r="P235" s="194"/>
      <c r="Q235" s="194"/>
      <c r="R235" s="194"/>
    </row>
    <row r="236" ht="16.8" customHeight="1" spans="1:18" x14ac:dyDescent="0.25">
      <c r="A236" s="194"/>
      <c r="B236" s="194"/>
      <c r="C236" s="194"/>
      <c r="D236" s="194"/>
      <c r="E236" s="194"/>
      <c r="F236" s="194"/>
      <c r="G236" s="202"/>
      <c r="H236" s="203"/>
      <c r="I236" s="203"/>
      <c r="J236" s="203"/>
      <c r="K236" s="203"/>
      <c r="L236" s="204"/>
      <c r="M236" s="203"/>
      <c r="N236" s="203"/>
      <c r="O236" s="194"/>
      <c r="P236" s="194"/>
      <c r="Q236" s="194"/>
      <c r="R236" s="194"/>
    </row>
    <row r="237" ht="16.8" customHeight="1" spans="1:18" x14ac:dyDescent="0.25">
      <c r="A237" s="194"/>
      <c r="B237" s="194"/>
      <c r="C237" s="194"/>
      <c r="D237" s="194"/>
      <c r="E237" s="194"/>
      <c r="F237" s="194"/>
      <c r="G237" s="202"/>
      <c r="H237" s="203"/>
      <c r="I237" s="203"/>
      <c r="J237" s="203"/>
      <c r="K237" s="203"/>
      <c r="L237" s="204"/>
      <c r="M237" s="203"/>
      <c r="N237" s="203"/>
      <c r="O237" s="194"/>
      <c r="P237" s="194"/>
      <c r="Q237" s="194"/>
      <c r="R237" s="194"/>
    </row>
    <row r="238" ht="16.8" customHeight="1" spans="1:18" x14ac:dyDescent="0.25">
      <c r="A238" s="194"/>
      <c r="B238" s="194"/>
      <c r="C238" s="194"/>
      <c r="D238" s="194"/>
      <c r="E238" s="194"/>
      <c r="F238" s="194"/>
      <c r="G238" s="202"/>
      <c r="H238" s="203"/>
      <c r="I238" s="203"/>
      <c r="J238" s="203"/>
      <c r="K238" s="203"/>
      <c r="L238" s="204"/>
      <c r="M238" s="203"/>
      <c r="N238" s="203"/>
      <c r="O238" s="194"/>
      <c r="P238" s="194"/>
      <c r="Q238" s="194"/>
      <c r="R238" s="194"/>
    </row>
    <row r="239" ht="16.8" customHeight="1" spans="1:18" x14ac:dyDescent="0.25">
      <c r="A239" s="194"/>
      <c r="B239" s="194"/>
      <c r="C239" s="194"/>
      <c r="D239" s="194"/>
      <c r="E239" s="194"/>
      <c r="F239" s="194"/>
      <c r="G239" s="202"/>
      <c r="H239" s="203"/>
      <c r="I239" s="203"/>
      <c r="J239" s="203"/>
      <c r="K239" s="203"/>
      <c r="L239" s="204"/>
      <c r="M239" s="203"/>
      <c r="N239" s="203"/>
      <c r="O239" s="194"/>
      <c r="P239" s="194"/>
      <c r="Q239" s="194"/>
      <c r="R239" s="194"/>
    </row>
    <row r="240" ht="16.8" customHeight="1" spans="1:18" x14ac:dyDescent="0.25">
      <c r="A240" s="194"/>
      <c r="B240" s="194"/>
      <c r="C240" s="194"/>
      <c r="D240" s="194"/>
      <c r="E240" s="194"/>
      <c r="F240" s="194"/>
      <c r="G240" s="202"/>
      <c r="H240" s="203"/>
      <c r="I240" s="203"/>
      <c r="J240" s="203"/>
      <c r="K240" s="203"/>
      <c r="L240" s="204"/>
      <c r="M240" s="203"/>
      <c r="N240" s="203"/>
      <c r="O240" s="194"/>
      <c r="P240" s="194"/>
      <c r="Q240" s="194"/>
      <c r="R240" s="194"/>
    </row>
    <row r="241" ht="16.8" customHeight="1" spans="1:18" x14ac:dyDescent="0.25">
      <c r="A241" s="194"/>
      <c r="B241" s="194"/>
      <c r="C241" s="194"/>
      <c r="D241" s="194"/>
      <c r="E241" s="194"/>
      <c r="F241" s="194"/>
      <c r="G241" s="202"/>
      <c r="H241" s="203"/>
      <c r="I241" s="203"/>
      <c r="J241" s="203"/>
      <c r="K241" s="203"/>
      <c r="L241" s="204"/>
      <c r="M241" s="203"/>
      <c r="N241" s="203"/>
      <c r="O241" s="194"/>
      <c r="P241" s="194"/>
      <c r="Q241" s="194"/>
      <c r="R241" s="194"/>
    </row>
    <row r="242" ht="16.8" customHeight="1" spans="1:18" x14ac:dyDescent="0.25">
      <c r="A242" s="194"/>
      <c r="B242" s="194"/>
      <c r="C242" s="194"/>
      <c r="D242" s="194"/>
      <c r="E242" s="194"/>
      <c r="F242" s="194"/>
      <c r="G242" s="202"/>
      <c r="H242" s="203"/>
      <c r="I242" s="203"/>
      <c r="J242" s="203"/>
      <c r="K242" s="203"/>
      <c r="L242" s="204"/>
      <c r="M242" s="203"/>
      <c r="N242" s="203"/>
      <c r="O242" s="194"/>
      <c r="P242" s="194"/>
      <c r="Q242" s="194"/>
      <c r="R242" s="194"/>
    </row>
    <row r="243" ht="16.8" customHeight="1" spans="1:18" x14ac:dyDescent="0.25">
      <c r="A243" s="194"/>
      <c r="B243" s="194"/>
      <c r="C243" s="194"/>
      <c r="D243" s="194"/>
      <c r="E243" s="194"/>
      <c r="F243" s="194"/>
      <c r="G243" s="202"/>
      <c r="H243" s="203"/>
      <c r="I243" s="203"/>
      <c r="J243" s="203"/>
      <c r="K243" s="203"/>
      <c r="L243" s="204"/>
      <c r="M243" s="203"/>
      <c r="N243" s="203"/>
      <c r="O243" s="194"/>
      <c r="P243" s="194"/>
      <c r="Q243" s="194"/>
      <c r="R243" s="194"/>
    </row>
    <row r="244" ht="16.8" customHeight="1" spans="1:18" x14ac:dyDescent="0.25">
      <c r="A244" s="194"/>
      <c r="B244" s="194"/>
      <c r="C244" s="194"/>
      <c r="D244" s="194"/>
      <c r="E244" s="194"/>
      <c r="F244" s="194"/>
      <c r="G244" s="202"/>
      <c r="H244" s="203"/>
      <c r="I244" s="203"/>
      <c r="J244" s="203"/>
      <c r="K244" s="203"/>
      <c r="L244" s="204"/>
      <c r="M244" s="203"/>
      <c r="N244" s="203"/>
      <c r="O244" s="194"/>
      <c r="P244" s="194"/>
      <c r="Q244" s="194"/>
      <c r="R244" s="194"/>
    </row>
    <row r="245" ht="16.8" customHeight="1" spans="1:18" x14ac:dyDescent="0.25">
      <c r="A245" s="194"/>
      <c r="B245" s="194"/>
      <c r="C245" s="194"/>
      <c r="D245" s="194"/>
      <c r="E245" s="194"/>
      <c r="F245" s="194"/>
      <c r="G245" s="202"/>
      <c r="H245" s="203"/>
      <c r="I245" s="203"/>
      <c r="J245" s="203"/>
      <c r="K245" s="203"/>
      <c r="L245" s="204"/>
      <c r="M245" s="203"/>
      <c r="N245" s="203"/>
      <c r="O245" s="194"/>
      <c r="P245" s="194"/>
      <c r="Q245" s="194"/>
      <c r="R245" s="194"/>
    </row>
    <row r="246" ht="16.8" customHeight="1" spans="1:18" x14ac:dyDescent="0.25">
      <c r="A246" s="194"/>
      <c r="B246" s="194"/>
      <c r="C246" s="194"/>
      <c r="D246" s="194"/>
      <c r="E246" s="194"/>
      <c r="F246" s="194"/>
      <c r="G246" s="202"/>
      <c r="H246" s="203"/>
      <c r="I246" s="203"/>
      <c r="J246" s="203"/>
      <c r="K246" s="203"/>
      <c r="L246" s="204"/>
      <c r="M246" s="203"/>
      <c r="N246" s="203"/>
      <c r="O246" s="194"/>
      <c r="P246" s="194"/>
      <c r="Q246" s="194"/>
      <c r="R246" s="194"/>
    </row>
    <row r="247" ht="16.8" customHeight="1" spans="1:18" x14ac:dyDescent="0.25">
      <c r="A247" s="194"/>
      <c r="B247" s="194"/>
      <c r="C247" s="194"/>
      <c r="D247" s="194"/>
      <c r="E247" s="194"/>
      <c r="F247" s="194"/>
      <c r="G247" s="202"/>
      <c r="H247" s="203"/>
      <c r="I247" s="203"/>
      <c r="J247" s="203"/>
      <c r="K247" s="203"/>
      <c r="L247" s="204"/>
      <c r="M247" s="203"/>
      <c r="N247" s="203"/>
      <c r="O247" s="194"/>
      <c r="P247" s="194"/>
      <c r="Q247" s="194"/>
      <c r="R247" s="194"/>
    </row>
    <row r="248" ht="16.8" customHeight="1" spans="1:18" x14ac:dyDescent="0.25">
      <c r="A248" s="194"/>
      <c r="B248" s="194"/>
      <c r="C248" s="194"/>
      <c r="D248" s="194"/>
      <c r="E248" s="194"/>
      <c r="F248" s="194"/>
      <c r="G248" s="202"/>
      <c r="H248" s="203"/>
      <c r="I248" s="203"/>
      <c r="J248" s="203"/>
      <c r="K248" s="203"/>
      <c r="L248" s="204"/>
      <c r="M248" s="203"/>
      <c r="N248" s="203"/>
      <c r="O248" s="194"/>
      <c r="P248" s="194"/>
      <c r="Q248" s="194"/>
      <c r="R248" s="194"/>
    </row>
    <row r="249" ht="16.8" customHeight="1" spans="1:18" x14ac:dyDescent="0.25">
      <c r="A249" s="194"/>
      <c r="B249" s="194"/>
      <c r="C249" s="194"/>
      <c r="D249" s="194"/>
      <c r="E249" s="194"/>
      <c r="F249" s="194"/>
      <c r="G249" s="202"/>
      <c r="H249" s="203"/>
      <c r="I249" s="203"/>
      <c r="J249" s="203"/>
      <c r="K249" s="203"/>
      <c r="L249" s="204"/>
      <c r="M249" s="203"/>
      <c r="N249" s="203"/>
      <c r="O249" s="194"/>
      <c r="P249" s="194"/>
      <c r="Q249" s="194"/>
      <c r="R249" s="194"/>
    </row>
    <row r="250" ht="16.8" customHeight="1" spans="1:18" x14ac:dyDescent="0.25">
      <c r="A250" s="194"/>
      <c r="B250" s="194"/>
      <c r="C250" s="194"/>
      <c r="D250" s="194"/>
      <c r="E250" s="194"/>
      <c r="F250" s="194"/>
      <c r="G250" s="202"/>
      <c r="H250" s="203"/>
      <c r="I250" s="203"/>
      <c r="J250" s="203"/>
      <c r="K250" s="203"/>
      <c r="L250" s="204"/>
      <c r="M250" s="203"/>
      <c r="N250" s="203"/>
      <c r="O250" s="194"/>
      <c r="P250" s="194"/>
      <c r="Q250" s="194"/>
      <c r="R250" s="194"/>
    </row>
    <row r="251" ht="16.8" customHeight="1" spans="1:18" x14ac:dyDescent="0.25">
      <c r="A251" s="194"/>
      <c r="B251" s="194"/>
      <c r="C251" s="194"/>
      <c r="D251" s="194"/>
      <c r="E251" s="194"/>
      <c r="F251" s="194"/>
      <c r="G251" s="202"/>
      <c r="H251" s="203"/>
      <c r="I251" s="203"/>
      <c r="J251" s="203"/>
      <c r="K251" s="203"/>
      <c r="L251" s="204"/>
      <c r="M251" s="203"/>
      <c r="N251" s="203"/>
      <c r="O251" s="194"/>
      <c r="P251" s="194"/>
      <c r="Q251" s="194"/>
      <c r="R251" s="194"/>
    </row>
    <row r="252" ht="16.8" customHeight="1" spans="1:18" x14ac:dyDescent="0.25">
      <c r="A252" s="194"/>
      <c r="B252" s="194"/>
      <c r="C252" s="194"/>
      <c r="D252" s="194"/>
      <c r="E252" s="194"/>
      <c r="F252" s="194"/>
      <c r="G252" s="202"/>
      <c r="H252" s="203"/>
      <c r="I252" s="203"/>
      <c r="J252" s="203"/>
      <c r="K252" s="203"/>
      <c r="L252" s="204"/>
      <c r="M252" s="203"/>
      <c r="N252" s="203"/>
      <c r="O252" s="194"/>
      <c r="P252" s="194"/>
      <c r="Q252" s="194"/>
      <c r="R252" s="194"/>
    </row>
    <row r="253" ht="16.8" customHeight="1" spans="1:18" x14ac:dyDescent="0.25">
      <c r="A253" s="194"/>
      <c r="B253" s="194"/>
      <c r="C253" s="194"/>
      <c r="D253" s="194"/>
      <c r="E253" s="194"/>
      <c r="F253" s="194"/>
      <c r="G253" s="202"/>
      <c r="H253" s="203"/>
      <c r="I253" s="203"/>
      <c r="J253" s="203"/>
      <c r="K253" s="203"/>
      <c r="L253" s="204"/>
      <c r="M253" s="203"/>
      <c r="N253" s="203"/>
      <c r="O253" s="194"/>
      <c r="P253" s="194"/>
      <c r="Q253" s="194"/>
      <c r="R253" s="194"/>
    </row>
    <row r="254" ht="16.8" customHeight="1" spans="1:18" x14ac:dyDescent="0.25">
      <c r="A254" s="194"/>
      <c r="B254" s="194"/>
      <c r="C254" s="194"/>
      <c r="D254" s="194"/>
      <c r="E254" s="194"/>
      <c r="F254" s="194"/>
      <c r="G254" s="202"/>
      <c r="H254" s="203"/>
      <c r="I254" s="203"/>
      <c r="J254" s="203"/>
      <c r="K254" s="203"/>
      <c r="L254" s="204"/>
      <c r="M254" s="203"/>
      <c r="N254" s="203"/>
      <c r="O254" s="194"/>
      <c r="P254" s="194"/>
      <c r="Q254" s="194"/>
      <c r="R254" s="194"/>
    </row>
    <row r="255" ht="16.8" customHeight="1" spans="1:18" x14ac:dyDescent="0.25">
      <c r="A255" s="194"/>
      <c r="B255" s="194"/>
      <c r="C255" s="194"/>
      <c r="D255" s="194"/>
      <c r="E255" s="194"/>
      <c r="F255" s="194"/>
      <c r="G255" s="202"/>
      <c r="H255" s="203"/>
      <c r="I255" s="203"/>
      <c r="J255" s="203"/>
      <c r="K255" s="203"/>
      <c r="L255" s="204"/>
      <c r="M255" s="203"/>
      <c r="N255" s="203"/>
      <c r="O255" s="194"/>
      <c r="P255" s="194"/>
      <c r="Q255" s="194"/>
      <c r="R255" s="194"/>
    </row>
    <row r="256" ht="16.8" customHeight="1" spans="1:18" x14ac:dyDescent="0.25">
      <c r="A256" s="194"/>
      <c r="B256" s="194"/>
      <c r="C256" s="194"/>
      <c r="D256" s="194"/>
      <c r="E256" s="194"/>
      <c r="F256" s="194"/>
      <c r="G256" s="202"/>
      <c r="H256" s="203"/>
      <c r="I256" s="203"/>
      <c r="J256" s="203"/>
      <c r="K256" s="203"/>
      <c r="L256" s="204"/>
      <c r="M256" s="203"/>
      <c r="N256" s="203"/>
      <c r="O256" s="194"/>
      <c r="P256" s="194"/>
      <c r="Q256" s="194"/>
      <c r="R256" s="194"/>
    </row>
    <row r="257" ht="16.8" customHeight="1" spans="1:18" x14ac:dyDescent="0.25">
      <c r="A257" s="194"/>
      <c r="B257" s="194"/>
      <c r="C257" s="194"/>
      <c r="D257" s="194"/>
      <c r="E257" s="194"/>
      <c r="F257" s="194"/>
      <c r="G257" s="202"/>
      <c r="H257" s="203"/>
      <c r="I257" s="203"/>
      <c r="J257" s="203"/>
      <c r="K257" s="203"/>
      <c r="L257" s="204"/>
      <c r="M257" s="203"/>
      <c r="N257" s="203"/>
      <c r="O257" s="194"/>
      <c r="P257" s="194"/>
      <c r="Q257" s="194"/>
      <c r="R257" s="194"/>
    </row>
    <row r="258" ht="16.8" customHeight="1" spans="1:18" x14ac:dyDescent="0.25">
      <c r="A258" s="194"/>
      <c r="B258" s="194"/>
      <c r="C258" s="194"/>
      <c r="D258" s="194"/>
      <c r="E258" s="194"/>
      <c r="F258" s="194"/>
      <c r="G258" s="202"/>
      <c r="H258" s="203"/>
      <c r="I258" s="203"/>
      <c r="J258" s="203"/>
      <c r="K258" s="203"/>
      <c r="L258" s="204"/>
      <c r="M258" s="203"/>
      <c r="N258" s="203"/>
      <c r="O258" s="194"/>
      <c r="P258" s="194"/>
      <c r="Q258" s="194"/>
      <c r="R258" s="194"/>
    </row>
    <row r="259" ht="16.8" customHeight="1" spans="1:18" x14ac:dyDescent="0.25">
      <c r="A259" s="194"/>
      <c r="B259" s="194"/>
      <c r="C259" s="194"/>
      <c r="D259" s="194"/>
      <c r="E259" s="194"/>
      <c r="F259" s="194"/>
      <c r="G259" s="202"/>
      <c r="H259" s="203"/>
      <c r="I259" s="203"/>
      <c r="J259" s="203"/>
      <c r="K259" s="203"/>
      <c r="L259" s="204"/>
      <c r="M259" s="203"/>
      <c r="N259" s="203"/>
      <c r="O259" s="194"/>
      <c r="P259" s="194"/>
      <c r="Q259" s="194"/>
      <c r="R259" s="194"/>
    </row>
    <row r="260" ht="16.8" customHeight="1" spans="1:18" x14ac:dyDescent="0.25">
      <c r="A260" s="194"/>
      <c r="B260" s="194"/>
      <c r="C260" s="194"/>
      <c r="D260" s="194"/>
      <c r="E260" s="194"/>
      <c r="F260" s="194"/>
      <c r="G260" s="202"/>
      <c r="H260" s="203"/>
      <c r="I260" s="203"/>
      <c r="J260" s="203"/>
      <c r="K260" s="203"/>
      <c r="L260" s="204"/>
      <c r="M260" s="203"/>
      <c r="N260" s="203"/>
      <c r="O260" s="194"/>
      <c r="P260" s="194"/>
      <c r="Q260" s="194"/>
      <c r="R260" s="194"/>
    </row>
    <row r="261" ht="16.8" customHeight="1" spans="1:18" x14ac:dyDescent="0.25">
      <c r="A261" s="194"/>
      <c r="B261" s="194"/>
      <c r="C261" s="194"/>
      <c r="D261" s="194"/>
      <c r="E261" s="194"/>
      <c r="F261" s="194"/>
      <c r="G261" s="202"/>
      <c r="H261" s="203"/>
      <c r="I261" s="203"/>
      <c r="J261" s="203"/>
      <c r="K261" s="203"/>
      <c r="L261" s="204"/>
      <c r="M261" s="203"/>
      <c r="N261" s="203"/>
      <c r="O261" s="194"/>
      <c r="P261" s="194"/>
      <c r="Q261" s="194"/>
      <c r="R261" s="194"/>
    </row>
    <row r="262" ht="16.8" customHeight="1" spans="1:18" x14ac:dyDescent="0.25">
      <c r="A262" s="194"/>
      <c r="B262" s="194"/>
      <c r="C262" s="194"/>
      <c r="D262" s="194"/>
      <c r="E262" s="194"/>
      <c r="F262" s="194"/>
      <c r="G262" s="202"/>
      <c r="H262" s="203"/>
      <c r="I262" s="203"/>
      <c r="J262" s="203"/>
      <c r="K262" s="203"/>
      <c r="L262" s="204"/>
      <c r="M262" s="203"/>
      <c r="N262" s="203"/>
      <c r="O262" s="194"/>
      <c r="P262" s="194"/>
      <c r="Q262" s="194"/>
      <c r="R262" s="194"/>
    </row>
    <row r="263" ht="16.8" customHeight="1" spans="1:18" x14ac:dyDescent="0.25">
      <c r="A263" s="194"/>
      <c r="B263" s="194"/>
      <c r="C263" s="194"/>
      <c r="D263" s="194"/>
      <c r="E263" s="194"/>
      <c r="F263" s="194"/>
      <c r="G263" s="202"/>
      <c r="H263" s="203"/>
      <c r="I263" s="203"/>
      <c r="J263" s="203"/>
      <c r="K263" s="203"/>
      <c r="L263" s="204"/>
      <c r="M263" s="203"/>
      <c r="N263" s="203"/>
      <c r="O263" s="194"/>
      <c r="P263" s="194"/>
      <c r="Q263" s="194"/>
      <c r="R263" s="194"/>
    </row>
    <row r="264" ht="16.8" customHeight="1" spans="1:18" x14ac:dyDescent="0.25">
      <c r="A264" s="194"/>
      <c r="B264" s="194"/>
      <c r="C264" s="194"/>
      <c r="D264" s="194"/>
      <c r="E264" s="194"/>
      <c r="F264" s="194"/>
      <c r="G264" s="202"/>
      <c r="H264" s="203"/>
      <c r="I264" s="203"/>
      <c r="J264" s="203"/>
      <c r="K264" s="203"/>
      <c r="L264" s="204"/>
      <c r="M264" s="203"/>
      <c r="N264" s="203"/>
      <c r="O264" s="194"/>
      <c r="P264" s="194"/>
      <c r="Q264" s="194"/>
      <c r="R264" s="194"/>
    </row>
    <row r="265" ht="16.8" customHeight="1" spans="1:18" x14ac:dyDescent="0.25">
      <c r="A265" s="194"/>
      <c r="B265" s="194"/>
      <c r="C265" s="194"/>
      <c r="D265" s="194"/>
      <c r="E265" s="194"/>
      <c r="F265" s="194"/>
      <c r="G265" s="202"/>
      <c r="H265" s="203"/>
      <c r="I265" s="203"/>
      <c r="J265" s="203"/>
      <c r="K265" s="203"/>
      <c r="L265" s="204"/>
      <c r="M265" s="203"/>
      <c r="N265" s="203"/>
      <c r="O265" s="194"/>
      <c r="P265" s="194"/>
      <c r="Q265" s="194"/>
      <c r="R265" s="194"/>
    </row>
    <row r="266" ht="16.8" customHeight="1" spans="1:18" x14ac:dyDescent="0.25">
      <c r="A266" s="194"/>
      <c r="B266" s="194"/>
      <c r="C266" s="194"/>
      <c r="D266" s="194"/>
      <c r="E266" s="194"/>
      <c r="F266" s="194"/>
      <c r="G266" s="202"/>
      <c r="H266" s="203"/>
      <c r="I266" s="203"/>
      <c r="J266" s="203"/>
      <c r="K266" s="203"/>
      <c r="L266" s="204"/>
      <c r="M266" s="203"/>
      <c r="N266" s="203"/>
      <c r="O266" s="194"/>
      <c r="P266" s="194"/>
      <c r="Q266" s="194"/>
      <c r="R266" s="194"/>
    </row>
    <row r="267" ht="16.8" customHeight="1" spans="1:18" x14ac:dyDescent="0.25">
      <c r="A267" s="194"/>
      <c r="B267" s="194"/>
      <c r="C267" s="194"/>
      <c r="D267" s="194"/>
      <c r="E267" s="194"/>
      <c r="F267" s="194"/>
      <c r="G267" s="202"/>
      <c r="H267" s="203"/>
      <c r="I267" s="203"/>
      <c r="J267" s="203"/>
      <c r="K267" s="203"/>
      <c r="L267" s="204"/>
      <c r="M267" s="203"/>
      <c r="N267" s="203"/>
      <c r="O267" s="194"/>
      <c r="P267" s="194"/>
      <c r="Q267" s="194"/>
      <c r="R267" s="194"/>
    </row>
    <row r="268" ht="16.8" customHeight="1" spans="1:18" x14ac:dyDescent="0.25">
      <c r="A268" s="194"/>
      <c r="B268" s="194"/>
      <c r="C268" s="194"/>
      <c r="D268" s="194"/>
      <c r="E268" s="194"/>
      <c r="F268" s="194"/>
      <c r="G268" s="202"/>
      <c r="H268" s="203"/>
      <c r="I268" s="203"/>
      <c r="J268" s="203"/>
      <c r="K268" s="203"/>
      <c r="L268" s="204"/>
      <c r="M268" s="203"/>
      <c r="N268" s="203"/>
      <c r="O268" s="194"/>
      <c r="P268" s="194"/>
      <c r="Q268" s="194"/>
      <c r="R268" s="194"/>
    </row>
    <row r="269" ht="16.8" customHeight="1" spans="1:18" x14ac:dyDescent="0.25">
      <c r="A269" s="194"/>
      <c r="B269" s="194"/>
      <c r="C269" s="194"/>
      <c r="D269" s="194"/>
      <c r="E269" s="194"/>
      <c r="F269" s="194"/>
      <c r="G269" s="202"/>
      <c r="H269" s="203"/>
      <c r="I269" s="203"/>
      <c r="J269" s="203"/>
      <c r="K269" s="203"/>
      <c r="L269" s="204"/>
      <c r="M269" s="203"/>
      <c r="N269" s="203"/>
      <c r="O269" s="194"/>
      <c r="P269" s="194"/>
      <c r="Q269" s="194"/>
      <c r="R269" s="194"/>
    </row>
    <row r="270" ht="16.8" customHeight="1" spans="1:18" x14ac:dyDescent="0.25">
      <c r="A270" s="194"/>
      <c r="B270" s="194"/>
      <c r="C270" s="194"/>
      <c r="D270" s="194"/>
      <c r="E270" s="194"/>
      <c r="F270" s="194"/>
      <c r="G270" s="202"/>
      <c r="H270" s="203"/>
      <c r="I270" s="203"/>
      <c r="J270" s="203"/>
      <c r="K270" s="203"/>
      <c r="L270" s="204"/>
      <c r="M270" s="203"/>
      <c r="N270" s="203"/>
      <c r="O270" s="194"/>
      <c r="P270" s="194"/>
      <c r="Q270" s="194"/>
      <c r="R270" s="194"/>
    </row>
    <row r="271" ht="16.8" customHeight="1" spans="1:18" x14ac:dyDescent="0.25">
      <c r="A271" s="194"/>
      <c r="B271" s="194"/>
      <c r="C271" s="194"/>
      <c r="D271" s="194"/>
      <c r="E271" s="194"/>
      <c r="F271" s="194"/>
      <c r="G271" s="202"/>
      <c r="H271" s="203"/>
      <c r="I271" s="203"/>
      <c r="J271" s="203"/>
      <c r="K271" s="203"/>
      <c r="L271" s="204"/>
      <c r="M271" s="203"/>
      <c r="N271" s="203"/>
      <c r="O271" s="194"/>
      <c r="P271" s="194"/>
      <c r="Q271" s="194"/>
      <c r="R271" s="194"/>
    </row>
    <row r="272" ht="16.8" customHeight="1" spans="1:18" x14ac:dyDescent="0.25">
      <c r="A272" s="194"/>
      <c r="B272" s="194"/>
      <c r="C272" s="194"/>
      <c r="D272" s="194"/>
      <c r="E272" s="194"/>
      <c r="F272" s="194"/>
      <c r="G272" s="202"/>
      <c r="H272" s="203"/>
      <c r="I272" s="203"/>
      <c r="J272" s="203"/>
      <c r="K272" s="203"/>
      <c r="L272" s="204"/>
      <c r="M272" s="203"/>
      <c r="N272" s="203"/>
      <c r="O272" s="194"/>
      <c r="P272" s="194"/>
      <c r="Q272" s="194"/>
      <c r="R272" s="194"/>
    </row>
    <row r="273" ht="16.8" customHeight="1" spans="1:18" x14ac:dyDescent="0.25">
      <c r="A273" s="194"/>
      <c r="B273" s="194"/>
      <c r="C273" s="194"/>
      <c r="D273" s="194"/>
      <c r="E273" s="194"/>
      <c r="F273" s="194"/>
      <c r="G273" s="202"/>
      <c r="H273" s="203"/>
      <c r="I273" s="203"/>
      <c r="J273" s="203"/>
      <c r="K273" s="203"/>
      <c r="L273" s="204"/>
      <c r="M273" s="203"/>
      <c r="N273" s="203"/>
      <c r="O273" s="194"/>
      <c r="P273" s="194"/>
      <c r="Q273" s="194"/>
      <c r="R273" s="194"/>
    </row>
    <row r="274" ht="16.8" customHeight="1" spans="1:18" x14ac:dyDescent="0.25">
      <c r="A274" s="194"/>
      <c r="B274" s="194"/>
      <c r="C274" s="194"/>
      <c r="D274" s="194"/>
      <c r="E274" s="194"/>
      <c r="F274" s="194"/>
      <c r="G274" s="202"/>
      <c r="H274" s="203"/>
      <c r="I274" s="203"/>
      <c r="J274" s="203"/>
      <c r="K274" s="203"/>
      <c r="L274" s="204"/>
      <c r="M274" s="203"/>
      <c r="N274" s="203"/>
      <c r="O274" s="194"/>
      <c r="P274" s="194"/>
      <c r="Q274" s="194"/>
      <c r="R274" s="194"/>
    </row>
    <row r="275" ht="16.8" customHeight="1" spans="1:18" x14ac:dyDescent="0.25">
      <c r="A275" s="194"/>
      <c r="B275" s="194"/>
      <c r="C275" s="194"/>
      <c r="D275" s="194"/>
      <c r="E275" s="194"/>
      <c r="F275" s="194"/>
      <c r="G275" s="202"/>
      <c r="H275" s="203"/>
      <c r="I275" s="203"/>
      <c r="J275" s="203"/>
      <c r="K275" s="203"/>
      <c r="L275" s="204"/>
      <c r="M275" s="203"/>
      <c r="N275" s="203"/>
      <c r="O275" s="194"/>
      <c r="P275" s="194"/>
      <c r="Q275" s="194"/>
      <c r="R275" s="194"/>
    </row>
    <row r="276" ht="16.8" customHeight="1" spans="1:18" x14ac:dyDescent="0.25">
      <c r="A276" s="194"/>
      <c r="B276" s="194"/>
      <c r="C276" s="194"/>
      <c r="D276" s="194"/>
      <c r="E276" s="194"/>
      <c r="F276" s="194"/>
      <c r="G276" s="202"/>
      <c r="H276" s="203"/>
      <c r="I276" s="203"/>
      <c r="J276" s="203"/>
      <c r="K276" s="203"/>
      <c r="L276" s="204"/>
      <c r="M276" s="203"/>
      <c r="N276" s="203"/>
      <c r="O276" s="194"/>
      <c r="P276" s="194"/>
      <c r="Q276" s="194"/>
      <c r="R276" s="194"/>
    </row>
    <row r="277" ht="16.8" customHeight="1" spans="1:18" x14ac:dyDescent="0.25">
      <c r="A277" s="194"/>
      <c r="B277" s="194"/>
      <c r="C277" s="194"/>
      <c r="D277" s="194"/>
      <c r="E277" s="194"/>
      <c r="F277" s="194"/>
      <c r="G277" s="202"/>
      <c r="H277" s="203"/>
      <c r="I277" s="203"/>
      <c r="J277" s="203"/>
      <c r="K277" s="203"/>
      <c r="L277" s="204"/>
      <c r="M277" s="203"/>
      <c r="N277" s="203"/>
      <c r="O277" s="194"/>
      <c r="P277" s="194"/>
      <c r="Q277" s="194"/>
      <c r="R277" s="194"/>
    </row>
    <row r="278" ht="16.8" customHeight="1" spans="1:18" x14ac:dyDescent="0.25">
      <c r="A278" s="194"/>
      <c r="B278" s="194"/>
      <c r="C278" s="194"/>
      <c r="D278" s="194"/>
      <c r="E278" s="194"/>
      <c r="F278" s="194"/>
      <c r="G278" s="202"/>
      <c r="H278" s="203"/>
      <c r="I278" s="203"/>
      <c r="J278" s="203"/>
      <c r="K278" s="203"/>
      <c r="L278" s="204"/>
      <c r="M278" s="203"/>
      <c r="N278" s="203"/>
      <c r="O278" s="194"/>
      <c r="P278" s="194"/>
      <c r="Q278" s="194"/>
      <c r="R278" s="194"/>
    </row>
    <row r="279" ht="16.8" customHeight="1" spans="1:18" x14ac:dyDescent="0.25">
      <c r="A279" s="194"/>
      <c r="B279" s="194"/>
      <c r="C279" s="194"/>
      <c r="D279" s="194"/>
      <c r="E279" s="194"/>
      <c r="F279" s="194"/>
      <c r="G279" s="202"/>
      <c r="H279" s="203"/>
      <c r="I279" s="203"/>
      <c r="J279" s="203"/>
      <c r="K279" s="203"/>
      <c r="L279" s="204"/>
      <c r="M279" s="203"/>
      <c r="N279" s="203"/>
      <c r="O279" s="194"/>
      <c r="P279" s="194"/>
      <c r="Q279" s="194"/>
      <c r="R279" s="194"/>
    </row>
    <row r="280" ht="16.8" customHeight="1" spans="1:18" x14ac:dyDescent="0.25">
      <c r="A280" s="194"/>
      <c r="B280" s="194"/>
      <c r="C280" s="194"/>
      <c r="D280" s="194"/>
      <c r="E280" s="194"/>
      <c r="F280" s="194"/>
      <c r="G280" s="202"/>
      <c r="H280" s="203"/>
      <c r="I280" s="203"/>
      <c r="J280" s="203"/>
      <c r="K280" s="203"/>
      <c r="L280" s="204"/>
      <c r="M280" s="203"/>
      <c r="N280" s="203"/>
      <c r="O280" s="194"/>
      <c r="P280" s="194"/>
      <c r="Q280" s="194"/>
      <c r="R280" s="194"/>
    </row>
    <row r="281" ht="16.8" customHeight="1" spans="1:18" x14ac:dyDescent="0.25">
      <c r="A281" s="194"/>
      <c r="B281" s="194"/>
      <c r="C281" s="194"/>
      <c r="D281" s="194"/>
      <c r="E281" s="194"/>
      <c r="F281" s="194"/>
      <c r="G281" s="202"/>
      <c r="H281" s="203"/>
      <c r="I281" s="203"/>
      <c r="J281" s="203"/>
      <c r="K281" s="203"/>
      <c r="L281" s="204"/>
      <c r="M281" s="203"/>
      <c r="N281" s="203"/>
      <c r="O281" s="194"/>
      <c r="P281" s="194"/>
      <c r="Q281" s="194"/>
      <c r="R281" s="194"/>
    </row>
    <row r="282" ht="16.8" customHeight="1" spans="1:18" x14ac:dyDescent="0.25">
      <c r="A282" s="194"/>
      <c r="B282" s="194"/>
      <c r="C282" s="194"/>
      <c r="D282" s="194"/>
      <c r="E282" s="194"/>
      <c r="F282" s="194"/>
      <c r="G282" s="202"/>
      <c r="H282" s="203"/>
      <c r="I282" s="203"/>
      <c r="J282" s="203"/>
      <c r="K282" s="203"/>
      <c r="L282" s="204"/>
      <c r="M282" s="203"/>
      <c r="N282" s="203"/>
      <c r="O282" s="194"/>
      <c r="P282" s="194"/>
      <c r="Q282" s="194"/>
      <c r="R282" s="194"/>
    </row>
    <row r="283" ht="16.8" customHeight="1" spans="1:18" x14ac:dyDescent="0.25">
      <c r="A283" s="194"/>
      <c r="B283" s="194"/>
      <c r="C283" s="194"/>
      <c r="D283" s="194"/>
      <c r="E283" s="194"/>
      <c r="F283" s="194"/>
      <c r="G283" s="202"/>
      <c r="H283" s="203"/>
      <c r="I283" s="203"/>
      <c r="J283" s="203"/>
      <c r="K283" s="203"/>
      <c r="L283" s="204"/>
      <c r="M283" s="203"/>
      <c r="N283" s="203"/>
      <c r="O283" s="194"/>
      <c r="P283" s="194"/>
      <c r="Q283" s="194"/>
      <c r="R283" s="194"/>
    </row>
    <row r="284" ht="16.8" customHeight="1" spans="1:18" x14ac:dyDescent="0.25">
      <c r="A284" s="194"/>
      <c r="B284" s="194"/>
      <c r="C284" s="194"/>
      <c r="D284" s="194"/>
      <c r="E284" s="194"/>
      <c r="F284" s="194"/>
      <c r="G284" s="202"/>
      <c r="H284" s="203"/>
      <c r="I284" s="203"/>
      <c r="J284" s="203"/>
      <c r="K284" s="203"/>
      <c r="L284" s="204"/>
      <c r="M284" s="203"/>
      <c r="N284" s="203"/>
      <c r="O284" s="194"/>
      <c r="P284" s="194"/>
      <c r="Q284" s="194"/>
      <c r="R284" s="194"/>
    </row>
    <row r="285" ht="16.8" customHeight="1" spans="1:18" x14ac:dyDescent="0.25">
      <c r="A285" s="194"/>
      <c r="B285" s="194"/>
      <c r="C285" s="194"/>
      <c r="D285" s="194"/>
      <c r="E285" s="194"/>
      <c r="F285" s="194"/>
      <c r="G285" s="202"/>
      <c r="H285" s="203"/>
      <c r="I285" s="203"/>
      <c r="J285" s="203"/>
      <c r="K285" s="203"/>
      <c r="L285" s="204"/>
      <c r="M285" s="203"/>
      <c r="N285" s="203"/>
      <c r="O285" s="194"/>
      <c r="P285" s="194"/>
      <c r="Q285" s="194"/>
      <c r="R285" s="194"/>
    </row>
    <row r="286" ht="16.8" customHeight="1" spans="1:18" x14ac:dyDescent="0.25">
      <c r="A286" s="194"/>
      <c r="B286" s="194"/>
      <c r="C286" s="194"/>
      <c r="D286" s="194"/>
      <c r="E286" s="194"/>
      <c r="F286" s="194"/>
      <c r="G286" s="202"/>
      <c r="H286" s="203"/>
      <c r="I286" s="203"/>
      <c r="J286" s="203"/>
      <c r="K286" s="203"/>
      <c r="L286" s="204"/>
      <c r="M286" s="203"/>
      <c r="N286" s="203"/>
      <c r="O286" s="194"/>
      <c r="P286" s="194"/>
      <c r="Q286" s="194"/>
      <c r="R286" s="194"/>
    </row>
    <row r="287" ht="16.8" customHeight="1" spans="1:18" x14ac:dyDescent="0.25">
      <c r="A287" s="194"/>
      <c r="B287" s="194"/>
      <c r="C287" s="194"/>
      <c r="D287" s="194"/>
      <c r="E287" s="194"/>
      <c r="F287" s="194"/>
      <c r="G287" s="202"/>
      <c r="H287" s="203"/>
      <c r="I287" s="203"/>
      <c r="J287" s="203"/>
      <c r="K287" s="203"/>
      <c r="L287" s="204"/>
      <c r="M287" s="203"/>
      <c r="N287" s="203"/>
      <c r="O287" s="194"/>
      <c r="P287" s="194"/>
      <c r="Q287" s="194"/>
      <c r="R287" s="194"/>
    </row>
    <row r="288" ht="16.8" customHeight="1" spans="1:18" x14ac:dyDescent="0.25">
      <c r="A288" s="194"/>
      <c r="B288" s="194"/>
      <c r="C288" s="194"/>
      <c r="D288" s="194"/>
      <c r="E288" s="194"/>
      <c r="F288" s="194"/>
      <c r="G288" s="202"/>
      <c r="H288" s="203"/>
      <c r="I288" s="203"/>
      <c r="J288" s="203"/>
      <c r="K288" s="203"/>
      <c r="L288" s="204"/>
      <c r="M288" s="203"/>
      <c r="N288" s="203"/>
      <c r="O288" s="194"/>
      <c r="P288" s="194"/>
      <c r="Q288" s="194"/>
      <c r="R288" s="194"/>
    </row>
    <row r="289" ht="16.8" customHeight="1" spans="1:18" x14ac:dyDescent="0.25">
      <c r="A289" s="194"/>
      <c r="B289" s="194"/>
      <c r="C289" s="194"/>
      <c r="D289" s="194"/>
      <c r="E289" s="194"/>
      <c r="F289" s="194"/>
      <c r="G289" s="202"/>
      <c r="H289" s="203"/>
      <c r="I289" s="203"/>
      <c r="J289" s="203"/>
      <c r="K289" s="203"/>
      <c r="L289" s="204"/>
      <c r="M289" s="203"/>
      <c r="N289" s="203"/>
      <c r="O289" s="194"/>
      <c r="P289" s="194"/>
      <c r="Q289" s="194"/>
      <c r="R289" s="194"/>
    </row>
    <row r="290" ht="16.8" customHeight="1" spans="1:18" x14ac:dyDescent="0.25">
      <c r="A290" s="194"/>
      <c r="B290" s="194"/>
      <c r="C290" s="194"/>
      <c r="D290" s="194"/>
      <c r="E290" s="194"/>
      <c r="F290" s="194"/>
      <c r="G290" s="202"/>
      <c r="H290" s="203"/>
      <c r="I290" s="203"/>
      <c r="J290" s="203"/>
      <c r="K290" s="203"/>
      <c r="L290" s="204"/>
      <c r="M290" s="203"/>
      <c r="N290" s="203"/>
      <c r="O290" s="194"/>
      <c r="P290" s="194"/>
      <c r="Q290" s="194"/>
      <c r="R290" s="194"/>
    </row>
    <row r="291" ht="16.8" customHeight="1" spans="1:18" x14ac:dyDescent="0.25">
      <c r="A291" s="194"/>
      <c r="B291" s="194"/>
      <c r="C291" s="194"/>
      <c r="D291" s="194"/>
      <c r="E291" s="194"/>
      <c r="F291" s="194"/>
      <c r="G291" s="202"/>
      <c r="H291" s="203"/>
      <c r="I291" s="203"/>
      <c r="J291" s="203"/>
      <c r="K291" s="203"/>
      <c r="L291" s="204"/>
      <c r="M291" s="203"/>
      <c r="N291" s="203"/>
      <c r="O291" s="194"/>
      <c r="P291" s="194"/>
      <c r="Q291" s="194"/>
      <c r="R291" s="194"/>
    </row>
    <row r="292" ht="16.8" customHeight="1" spans="1:18" x14ac:dyDescent="0.25">
      <c r="A292" s="194"/>
      <c r="B292" s="194"/>
      <c r="C292" s="194"/>
      <c r="D292" s="194"/>
      <c r="E292" s="194"/>
      <c r="F292" s="194"/>
      <c r="G292" s="202"/>
      <c r="H292" s="203"/>
      <c r="I292" s="203"/>
      <c r="J292" s="203"/>
      <c r="K292" s="203"/>
      <c r="L292" s="204"/>
      <c r="M292" s="203"/>
      <c r="N292" s="203"/>
      <c r="O292" s="194"/>
      <c r="P292" s="194"/>
      <c r="Q292" s="194"/>
      <c r="R292" s="194"/>
    </row>
    <row r="293" ht="16.8" customHeight="1" spans="1:18" x14ac:dyDescent="0.25">
      <c r="A293" s="194"/>
      <c r="B293" s="194"/>
      <c r="C293" s="194"/>
      <c r="D293" s="194"/>
      <c r="E293" s="194"/>
      <c r="F293" s="194"/>
      <c r="G293" s="202"/>
      <c r="H293" s="203"/>
      <c r="I293" s="203"/>
      <c r="J293" s="203"/>
      <c r="K293" s="203"/>
      <c r="L293" s="204"/>
      <c r="M293" s="203"/>
      <c r="N293" s="203"/>
      <c r="O293" s="194"/>
      <c r="P293" s="194"/>
      <c r="Q293" s="194"/>
      <c r="R293" s="194"/>
    </row>
    <row r="294" ht="16.8" customHeight="1" spans="1:18" x14ac:dyDescent="0.25">
      <c r="A294" s="194"/>
      <c r="B294" s="194"/>
      <c r="C294" s="194"/>
      <c r="D294" s="194"/>
      <c r="E294" s="194"/>
      <c r="F294" s="194"/>
      <c r="G294" s="202"/>
      <c r="H294" s="203"/>
      <c r="I294" s="203"/>
      <c r="J294" s="203"/>
      <c r="K294" s="203"/>
      <c r="L294" s="204"/>
      <c r="M294" s="203"/>
      <c r="N294" s="203"/>
      <c r="O294" s="194"/>
      <c r="P294" s="194"/>
      <c r="Q294" s="194"/>
      <c r="R294" s="194"/>
    </row>
    <row r="295" ht="16.8" customHeight="1" spans="1:18" x14ac:dyDescent="0.25">
      <c r="A295" s="194"/>
      <c r="B295" s="194"/>
      <c r="C295" s="194"/>
      <c r="D295" s="194"/>
      <c r="E295" s="194"/>
      <c r="F295" s="194"/>
      <c r="G295" s="202"/>
      <c r="H295" s="203"/>
      <c r="I295" s="203"/>
      <c r="J295" s="203"/>
      <c r="K295" s="203"/>
      <c r="L295" s="204"/>
      <c r="M295" s="203"/>
      <c r="N295" s="203"/>
      <c r="O295" s="194"/>
      <c r="P295" s="194"/>
      <c r="Q295" s="194"/>
      <c r="R295" s="194"/>
    </row>
    <row r="296" ht="16.8" customHeight="1" spans="1:18" x14ac:dyDescent="0.25">
      <c r="A296" s="194"/>
      <c r="B296" s="194"/>
      <c r="C296" s="194"/>
      <c r="D296" s="194"/>
      <c r="E296" s="194"/>
      <c r="F296" s="194"/>
      <c r="G296" s="202"/>
      <c r="H296" s="203"/>
      <c r="I296" s="203"/>
      <c r="J296" s="203"/>
      <c r="K296" s="203"/>
      <c r="L296" s="204"/>
      <c r="M296" s="203"/>
      <c r="N296" s="203"/>
      <c r="O296" s="194"/>
      <c r="P296" s="194"/>
      <c r="Q296" s="194"/>
      <c r="R296" s="194"/>
    </row>
    <row r="297" ht="16.8" customHeight="1" spans="1:18" x14ac:dyDescent="0.25">
      <c r="A297" s="194"/>
      <c r="B297" s="194"/>
      <c r="C297" s="194"/>
      <c r="D297" s="194"/>
      <c r="E297" s="194"/>
      <c r="F297" s="194"/>
      <c r="G297" s="202"/>
      <c r="H297" s="203"/>
      <c r="I297" s="203"/>
      <c r="J297" s="203"/>
      <c r="K297" s="203"/>
      <c r="L297" s="204"/>
      <c r="M297" s="203"/>
      <c r="N297" s="203"/>
      <c r="O297" s="194"/>
      <c r="P297" s="194"/>
      <c r="Q297" s="194"/>
      <c r="R297" s="194"/>
    </row>
    <row r="298" ht="16.8" customHeight="1" spans="1:18" x14ac:dyDescent="0.25">
      <c r="A298" s="194"/>
      <c r="B298" s="194"/>
      <c r="C298" s="194"/>
      <c r="D298" s="194"/>
      <c r="E298" s="194"/>
      <c r="F298" s="194"/>
      <c r="G298" s="202"/>
      <c r="H298" s="203"/>
      <c r="I298" s="203"/>
      <c r="J298" s="203"/>
      <c r="K298" s="203"/>
      <c r="L298" s="204"/>
      <c r="M298" s="203"/>
      <c r="N298" s="203"/>
      <c r="O298" s="194"/>
      <c r="P298" s="194"/>
      <c r="Q298" s="194"/>
      <c r="R298" s="194"/>
    </row>
    <row r="299" ht="16.8" customHeight="1" spans="1:18" x14ac:dyDescent="0.25">
      <c r="A299" s="194"/>
      <c r="B299" s="194"/>
      <c r="C299" s="194"/>
      <c r="D299" s="194"/>
      <c r="E299" s="194"/>
      <c r="F299" s="194"/>
      <c r="G299" s="202"/>
      <c r="H299" s="203"/>
      <c r="I299" s="203"/>
      <c r="J299" s="203"/>
      <c r="K299" s="203"/>
      <c r="L299" s="204"/>
      <c r="M299" s="203"/>
      <c r="N299" s="203"/>
      <c r="O299" s="194"/>
      <c r="P299" s="194"/>
      <c r="Q299" s="194"/>
      <c r="R299" s="194"/>
    </row>
    <row r="300" ht="16.8" customHeight="1" spans="1:18" x14ac:dyDescent="0.25">
      <c r="A300" s="194"/>
      <c r="B300" s="194"/>
      <c r="C300" s="194"/>
      <c r="D300" s="194"/>
      <c r="E300" s="194"/>
      <c r="F300" s="194"/>
      <c r="G300" s="202"/>
      <c r="H300" s="203"/>
      <c r="I300" s="203"/>
      <c r="J300" s="203"/>
      <c r="K300" s="203"/>
      <c r="L300" s="204"/>
      <c r="M300" s="203"/>
      <c r="N300" s="203"/>
      <c r="O300" s="194"/>
      <c r="P300" s="194"/>
      <c r="Q300" s="194"/>
      <c r="R300" s="194"/>
    </row>
    <row r="301" ht="16.8" customHeight="1" spans="1:18" x14ac:dyDescent="0.25">
      <c r="A301" s="194"/>
      <c r="B301" s="194"/>
      <c r="C301" s="194"/>
      <c r="D301" s="194"/>
      <c r="E301" s="194"/>
      <c r="F301" s="194"/>
      <c r="G301" s="202"/>
      <c r="H301" s="203"/>
      <c r="I301" s="203"/>
      <c r="J301" s="203"/>
      <c r="K301" s="203"/>
      <c r="L301" s="204"/>
      <c r="M301" s="203"/>
      <c r="N301" s="203"/>
      <c r="O301" s="194"/>
      <c r="P301" s="194"/>
      <c r="Q301" s="194"/>
      <c r="R301" s="194"/>
    </row>
    <row r="302" ht="16.8" customHeight="1" spans="1:18" x14ac:dyDescent="0.25">
      <c r="A302" s="194"/>
      <c r="B302" s="194"/>
      <c r="C302" s="194"/>
      <c r="D302" s="194"/>
      <c r="E302" s="194"/>
      <c r="F302" s="194"/>
      <c r="G302" s="202"/>
      <c r="H302" s="203"/>
      <c r="I302" s="203"/>
      <c r="J302" s="203"/>
      <c r="K302" s="203"/>
      <c r="L302" s="204"/>
      <c r="M302" s="203"/>
      <c r="N302" s="203"/>
      <c r="O302" s="194"/>
      <c r="P302" s="194"/>
      <c r="Q302" s="194"/>
      <c r="R302" s="194"/>
    </row>
    <row r="303" ht="16.8" customHeight="1" spans="1:18" x14ac:dyDescent="0.25">
      <c r="A303" s="194"/>
      <c r="B303" s="194"/>
      <c r="C303" s="194"/>
      <c r="D303" s="194"/>
      <c r="E303" s="194"/>
      <c r="F303" s="194"/>
      <c r="G303" s="202"/>
      <c r="H303" s="203"/>
      <c r="I303" s="203"/>
      <c r="J303" s="203"/>
      <c r="K303" s="203"/>
      <c r="L303" s="204"/>
      <c r="M303" s="203"/>
      <c r="N303" s="203"/>
      <c r="O303" s="194"/>
      <c r="P303" s="194"/>
      <c r="Q303" s="194"/>
      <c r="R303" s="194"/>
    </row>
    <row r="304" ht="16.8" customHeight="1" spans="1:18" x14ac:dyDescent="0.25">
      <c r="A304" s="194"/>
      <c r="B304" s="194"/>
      <c r="C304" s="194"/>
      <c r="D304" s="194"/>
      <c r="E304" s="194"/>
      <c r="F304" s="194"/>
      <c r="G304" s="202"/>
      <c r="H304" s="203"/>
      <c r="I304" s="203"/>
      <c r="J304" s="203"/>
      <c r="K304" s="203"/>
      <c r="L304" s="204"/>
      <c r="M304" s="203"/>
      <c r="N304" s="203"/>
      <c r="O304" s="194"/>
      <c r="P304" s="194"/>
      <c r="Q304" s="194"/>
      <c r="R304" s="194"/>
    </row>
    <row r="305" ht="16.8" customHeight="1" spans="1:18" x14ac:dyDescent="0.25">
      <c r="A305" s="194"/>
      <c r="B305" s="194"/>
      <c r="C305" s="194"/>
      <c r="D305" s="194"/>
      <c r="E305" s="194"/>
      <c r="F305" s="194"/>
      <c r="G305" s="202"/>
      <c r="H305" s="203"/>
      <c r="I305" s="203"/>
      <c r="J305" s="203"/>
      <c r="K305" s="203"/>
      <c r="L305" s="204"/>
      <c r="M305" s="203"/>
      <c r="N305" s="203"/>
      <c r="O305" s="194"/>
      <c r="P305" s="194"/>
      <c r="Q305" s="194"/>
      <c r="R305" s="194"/>
    </row>
    <row r="306" ht="16.8" customHeight="1" spans="1:18" x14ac:dyDescent="0.25">
      <c r="A306" s="194"/>
      <c r="B306" s="194"/>
      <c r="C306" s="194"/>
      <c r="D306" s="194"/>
      <c r="E306" s="194"/>
      <c r="F306" s="194"/>
      <c r="G306" s="202"/>
      <c r="H306" s="203"/>
      <c r="I306" s="203"/>
      <c r="J306" s="203"/>
      <c r="K306" s="203"/>
      <c r="L306" s="204"/>
      <c r="M306" s="203"/>
      <c r="N306" s="203"/>
      <c r="O306" s="194"/>
      <c r="P306" s="194"/>
      <c r="Q306" s="194"/>
      <c r="R306" s="194"/>
    </row>
    <row r="307" ht="16.8" customHeight="1" spans="1:18" x14ac:dyDescent="0.25">
      <c r="A307" s="194"/>
      <c r="B307" s="194"/>
      <c r="C307" s="194"/>
      <c r="D307" s="194"/>
      <c r="E307" s="194"/>
      <c r="F307" s="194"/>
      <c r="G307" s="202"/>
      <c r="H307" s="203"/>
      <c r="I307" s="203"/>
      <c r="J307" s="203"/>
      <c r="K307" s="203"/>
      <c r="L307" s="204"/>
      <c r="M307" s="203"/>
      <c r="N307" s="203"/>
      <c r="O307" s="194"/>
      <c r="P307" s="194"/>
      <c r="Q307" s="194"/>
      <c r="R307" s="194"/>
    </row>
    <row r="308" ht="16.8" customHeight="1" spans="1:18" x14ac:dyDescent="0.25">
      <c r="A308" s="194"/>
      <c r="B308" s="194"/>
      <c r="C308" s="194"/>
      <c r="D308" s="194"/>
      <c r="E308" s="194"/>
      <c r="F308" s="194"/>
      <c r="G308" s="202"/>
      <c r="H308" s="203"/>
      <c r="I308" s="203"/>
      <c r="J308" s="203"/>
      <c r="K308" s="203"/>
      <c r="L308" s="204"/>
      <c r="M308" s="203"/>
      <c r="N308" s="203"/>
      <c r="O308" s="194"/>
      <c r="P308" s="194"/>
      <c r="Q308" s="194"/>
      <c r="R308" s="194"/>
    </row>
    <row r="309" ht="16.8" customHeight="1" spans="1:18" x14ac:dyDescent="0.25">
      <c r="A309" s="194"/>
      <c r="B309" s="194"/>
      <c r="C309" s="194"/>
      <c r="D309" s="194"/>
      <c r="E309" s="194"/>
      <c r="F309" s="194"/>
      <c r="G309" s="202"/>
      <c r="H309" s="203"/>
      <c r="I309" s="203"/>
      <c r="J309" s="203"/>
      <c r="K309" s="203"/>
      <c r="L309" s="204"/>
      <c r="M309" s="203"/>
      <c r="N309" s="203"/>
      <c r="O309" s="194"/>
      <c r="P309" s="194"/>
      <c r="Q309" s="194"/>
      <c r="R309" s="194"/>
    </row>
    <row r="310" ht="16.8" customHeight="1" spans="1:18" x14ac:dyDescent="0.25">
      <c r="A310" s="194"/>
      <c r="B310" s="194"/>
      <c r="C310" s="194"/>
      <c r="D310" s="194"/>
      <c r="E310" s="194"/>
      <c r="F310" s="194"/>
      <c r="G310" s="202"/>
      <c r="H310" s="203"/>
      <c r="I310" s="203"/>
      <c r="J310" s="203"/>
      <c r="K310" s="203"/>
      <c r="L310" s="204"/>
      <c r="M310" s="203"/>
      <c r="N310" s="203"/>
      <c r="O310" s="194"/>
      <c r="P310" s="194"/>
      <c r="Q310" s="194"/>
      <c r="R310" s="194"/>
    </row>
    <row r="311" ht="16.8" customHeight="1" spans="1:18" x14ac:dyDescent="0.25">
      <c r="A311" s="194"/>
      <c r="B311" s="194"/>
      <c r="C311" s="194"/>
      <c r="D311" s="194"/>
      <c r="E311" s="194"/>
      <c r="F311" s="194"/>
      <c r="G311" s="202"/>
      <c r="H311" s="203"/>
      <c r="I311" s="203"/>
      <c r="J311" s="203"/>
      <c r="K311" s="203"/>
      <c r="L311" s="204"/>
      <c r="M311" s="203"/>
      <c r="N311" s="203"/>
      <c r="O311" s="194"/>
      <c r="P311" s="194"/>
      <c r="Q311" s="194"/>
      <c r="R311" s="194"/>
    </row>
    <row r="312" ht="16.8" customHeight="1" spans="1:18" x14ac:dyDescent="0.25">
      <c r="A312" s="194"/>
      <c r="B312" s="194"/>
      <c r="C312" s="194"/>
      <c r="D312" s="194"/>
      <c r="E312" s="194"/>
      <c r="F312" s="194"/>
      <c r="G312" s="202"/>
      <c r="H312" s="203"/>
      <c r="I312" s="203"/>
      <c r="J312" s="203"/>
      <c r="K312" s="203"/>
      <c r="L312" s="204"/>
      <c r="M312" s="203"/>
      <c r="N312" s="203"/>
      <c r="O312" s="194"/>
      <c r="P312" s="194"/>
      <c r="Q312" s="194"/>
      <c r="R312" s="194"/>
    </row>
    <row r="313" ht="16.8" customHeight="1" spans="1:18" x14ac:dyDescent="0.25">
      <c r="A313" s="194"/>
      <c r="B313" s="194"/>
      <c r="C313" s="194"/>
      <c r="D313" s="194"/>
      <c r="E313" s="194"/>
      <c r="F313" s="194"/>
      <c r="G313" s="202"/>
      <c r="H313" s="203"/>
      <c r="I313" s="203"/>
      <c r="J313" s="203"/>
      <c r="K313" s="203"/>
      <c r="L313" s="204"/>
      <c r="M313" s="203"/>
      <c r="N313" s="203"/>
      <c r="O313" s="194"/>
      <c r="P313" s="194"/>
      <c r="Q313" s="194"/>
      <c r="R313" s="194"/>
    </row>
    <row r="314" ht="16.8" customHeight="1" spans="1:18" x14ac:dyDescent="0.25">
      <c r="A314" s="194"/>
      <c r="B314" s="194"/>
      <c r="C314" s="194"/>
      <c r="D314" s="194"/>
      <c r="E314" s="194"/>
      <c r="F314" s="194"/>
      <c r="G314" s="202"/>
      <c r="H314" s="203"/>
      <c r="I314" s="203"/>
      <c r="J314" s="203"/>
      <c r="K314" s="203"/>
      <c r="L314" s="204"/>
      <c r="M314" s="203"/>
      <c r="N314" s="203"/>
      <c r="O314" s="194"/>
      <c r="P314" s="194"/>
      <c r="Q314" s="194"/>
      <c r="R314" s="194"/>
    </row>
    <row r="315" ht="16.8" customHeight="1" spans="1:18" x14ac:dyDescent="0.25">
      <c r="A315" s="194"/>
      <c r="B315" s="194"/>
      <c r="C315" s="194"/>
      <c r="D315" s="194"/>
      <c r="E315" s="194"/>
      <c r="F315" s="194"/>
      <c r="G315" s="202"/>
      <c r="H315" s="203"/>
      <c r="I315" s="203"/>
      <c r="J315" s="203"/>
      <c r="K315" s="203"/>
      <c r="L315" s="204"/>
      <c r="M315" s="203"/>
      <c r="N315" s="203"/>
      <c r="O315" s="194"/>
      <c r="P315" s="194"/>
      <c r="Q315" s="194"/>
      <c r="R315" s="194"/>
    </row>
    <row r="316" ht="16.8" customHeight="1" spans="1:18" x14ac:dyDescent="0.25">
      <c r="A316" s="194"/>
      <c r="B316" s="194"/>
      <c r="C316" s="194"/>
      <c r="D316" s="194"/>
      <c r="E316" s="194"/>
      <c r="F316" s="194"/>
      <c r="G316" s="202"/>
      <c r="H316" s="203"/>
      <c r="I316" s="203"/>
      <c r="J316" s="203"/>
      <c r="K316" s="203"/>
      <c r="L316" s="204"/>
      <c r="M316" s="203"/>
      <c r="N316" s="203"/>
      <c r="O316" s="194"/>
      <c r="P316" s="194"/>
      <c r="Q316" s="194"/>
      <c r="R316" s="194"/>
    </row>
    <row r="317" ht="16.8" customHeight="1" spans="1:18" x14ac:dyDescent="0.25">
      <c r="A317" s="194"/>
      <c r="B317" s="194"/>
      <c r="C317" s="194"/>
      <c r="D317" s="194"/>
      <c r="E317" s="194"/>
      <c r="F317" s="194"/>
      <c r="G317" s="202"/>
      <c r="H317" s="203"/>
      <c r="I317" s="203"/>
      <c r="J317" s="203"/>
      <c r="K317" s="203"/>
      <c r="L317" s="204"/>
      <c r="M317" s="203"/>
      <c r="N317" s="203"/>
      <c r="O317" s="194"/>
      <c r="P317" s="194"/>
      <c r="Q317" s="194"/>
      <c r="R317" s="194"/>
    </row>
    <row r="318" ht="16.8" customHeight="1" spans="1:18" x14ac:dyDescent="0.25">
      <c r="A318" s="194"/>
      <c r="B318" s="194"/>
      <c r="C318" s="194"/>
      <c r="D318" s="194"/>
      <c r="E318" s="194"/>
      <c r="F318" s="194"/>
      <c r="G318" s="202"/>
      <c r="H318" s="203"/>
      <c r="I318" s="203"/>
      <c r="J318" s="203"/>
      <c r="K318" s="203"/>
      <c r="L318" s="204"/>
      <c r="M318" s="203"/>
      <c r="N318" s="203"/>
      <c r="O318" s="194"/>
      <c r="P318" s="194"/>
      <c r="Q318" s="194"/>
      <c r="R318" s="194"/>
    </row>
    <row r="319" ht="16.8" customHeight="1" spans="1:18" x14ac:dyDescent="0.25">
      <c r="A319" s="194"/>
      <c r="B319" s="194"/>
      <c r="C319" s="194"/>
      <c r="D319" s="194"/>
      <c r="E319" s="194"/>
      <c r="F319" s="194"/>
      <c r="G319" s="202"/>
      <c r="H319" s="203"/>
      <c r="I319" s="203"/>
      <c r="J319" s="203"/>
      <c r="K319" s="203"/>
      <c r="L319" s="204"/>
      <c r="M319" s="203"/>
      <c r="N319" s="203"/>
      <c r="O319" s="194"/>
      <c r="P319" s="194"/>
      <c r="Q319" s="194"/>
      <c r="R319" s="194"/>
    </row>
    <row r="320" ht="16.8" customHeight="1" spans="1:18" x14ac:dyDescent="0.25">
      <c r="A320" s="194"/>
      <c r="B320" s="194"/>
      <c r="C320" s="194"/>
      <c r="D320" s="194"/>
      <c r="E320" s="194"/>
      <c r="F320" s="194"/>
      <c r="G320" s="202"/>
      <c r="H320" s="203"/>
      <c r="I320" s="203"/>
      <c r="J320" s="203"/>
      <c r="K320" s="203"/>
      <c r="L320" s="204"/>
      <c r="M320" s="203"/>
      <c r="N320" s="203"/>
      <c r="O320" s="194"/>
      <c r="P320" s="194"/>
      <c r="Q320" s="194"/>
      <c r="R320" s="194"/>
    </row>
    <row r="321" ht="16.8" customHeight="1" spans="1:18" x14ac:dyDescent="0.25">
      <c r="A321" s="194"/>
      <c r="B321" s="194"/>
      <c r="C321" s="194"/>
      <c r="D321" s="194"/>
      <c r="E321" s="194"/>
      <c r="F321" s="194"/>
      <c r="G321" s="202"/>
      <c r="H321" s="203"/>
      <c r="I321" s="203"/>
      <c r="J321" s="203"/>
      <c r="K321" s="203"/>
      <c r="L321" s="204"/>
      <c r="M321" s="203"/>
      <c r="N321" s="203"/>
      <c r="O321" s="194"/>
      <c r="P321" s="194"/>
      <c r="Q321" s="194"/>
      <c r="R321" s="194"/>
    </row>
    <row r="322" ht="16.8" customHeight="1" spans="1:18" x14ac:dyDescent="0.25">
      <c r="A322" s="194"/>
      <c r="B322" s="194"/>
      <c r="C322" s="194"/>
      <c r="D322" s="194"/>
      <c r="E322" s="194"/>
      <c r="F322" s="194"/>
      <c r="G322" s="202"/>
      <c r="H322" s="203"/>
      <c r="I322" s="203"/>
      <c r="J322" s="203"/>
      <c r="K322" s="203"/>
      <c r="L322" s="204"/>
      <c r="M322" s="203"/>
      <c r="N322" s="203"/>
      <c r="O322" s="194"/>
      <c r="P322" s="194"/>
      <c r="Q322" s="194"/>
      <c r="R322" s="194"/>
    </row>
    <row r="323" ht="16.8" customHeight="1" spans="1:18" x14ac:dyDescent="0.25">
      <c r="A323" s="194"/>
      <c r="B323" s="194"/>
      <c r="C323" s="194"/>
      <c r="D323" s="194"/>
      <c r="E323" s="194"/>
      <c r="F323" s="194"/>
      <c r="G323" s="202"/>
      <c r="H323" s="203"/>
      <c r="I323" s="203"/>
      <c r="J323" s="203"/>
      <c r="K323" s="203"/>
      <c r="L323" s="204"/>
      <c r="M323" s="203"/>
      <c r="N323" s="203"/>
      <c r="O323" s="194"/>
      <c r="P323" s="194"/>
      <c r="Q323" s="194"/>
      <c r="R323" s="194"/>
    </row>
    <row r="324" ht="16.8" customHeight="1" spans="1:18" x14ac:dyDescent="0.25">
      <c r="A324" s="194"/>
      <c r="B324" s="194"/>
      <c r="C324" s="194"/>
      <c r="D324" s="194"/>
      <c r="E324" s="194"/>
      <c r="F324" s="194"/>
      <c r="G324" s="202"/>
      <c r="H324" s="203"/>
      <c r="I324" s="203"/>
      <c r="J324" s="203"/>
      <c r="K324" s="203"/>
      <c r="L324" s="204"/>
      <c r="M324" s="203"/>
      <c r="N324" s="203"/>
      <c r="O324" s="194"/>
      <c r="P324" s="194"/>
      <c r="Q324" s="194"/>
      <c r="R324" s="194"/>
    </row>
    <row r="325" ht="16.8" customHeight="1" spans="1:18" x14ac:dyDescent="0.25">
      <c r="A325" s="194"/>
      <c r="B325" s="194"/>
      <c r="C325" s="194"/>
      <c r="D325" s="194"/>
      <c r="E325" s="194"/>
      <c r="F325" s="194"/>
      <c r="G325" s="202"/>
      <c r="H325" s="203"/>
      <c r="I325" s="203"/>
      <c r="J325" s="203"/>
      <c r="K325" s="203"/>
      <c r="L325" s="204"/>
      <c r="M325" s="203"/>
      <c r="N325" s="203"/>
      <c r="O325" s="194"/>
      <c r="P325" s="194"/>
      <c r="Q325" s="194"/>
      <c r="R325" s="194"/>
    </row>
    <row r="326" ht="16.8" customHeight="1" spans="1:18" x14ac:dyDescent="0.25">
      <c r="A326" s="194"/>
      <c r="B326" s="194"/>
      <c r="C326" s="194"/>
      <c r="D326" s="194"/>
      <c r="E326" s="194"/>
      <c r="F326" s="194"/>
      <c r="G326" s="202"/>
      <c r="H326" s="203"/>
      <c r="I326" s="203"/>
      <c r="J326" s="203"/>
      <c r="K326" s="203"/>
      <c r="L326" s="204"/>
      <c r="M326" s="203"/>
      <c r="N326" s="203"/>
      <c r="O326" s="194"/>
      <c r="P326" s="194"/>
      <c r="Q326" s="194"/>
      <c r="R326" s="194"/>
    </row>
    <row r="327" ht="16.8" customHeight="1" spans="1:18" x14ac:dyDescent="0.25">
      <c r="A327" s="194"/>
      <c r="B327" s="194"/>
      <c r="C327" s="194"/>
      <c r="D327" s="194"/>
      <c r="E327" s="194"/>
      <c r="F327" s="194"/>
      <c r="G327" s="202"/>
      <c r="H327" s="203"/>
      <c r="I327" s="203"/>
      <c r="J327" s="203"/>
      <c r="K327" s="203"/>
      <c r="L327" s="204"/>
      <c r="M327" s="203"/>
      <c r="N327" s="203"/>
      <c r="O327" s="194"/>
      <c r="P327" s="194"/>
      <c r="Q327" s="194"/>
      <c r="R327" s="194"/>
    </row>
    <row r="328" ht="16.8" customHeight="1" spans="1:18" x14ac:dyDescent="0.25">
      <c r="A328" s="194"/>
      <c r="B328" s="194"/>
      <c r="C328" s="194"/>
      <c r="D328" s="194"/>
      <c r="E328" s="194"/>
      <c r="F328" s="194"/>
      <c r="G328" s="202"/>
      <c r="H328" s="203"/>
      <c r="I328" s="203"/>
      <c r="J328" s="203"/>
      <c r="K328" s="203"/>
      <c r="L328" s="204"/>
      <c r="M328" s="203"/>
      <c r="N328" s="203"/>
      <c r="O328" s="194"/>
      <c r="P328" s="194"/>
      <c r="Q328" s="194"/>
      <c r="R328" s="194"/>
    </row>
    <row r="329" ht="16.8" customHeight="1" spans="1:18" x14ac:dyDescent="0.25">
      <c r="A329" s="194"/>
      <c r="B329" s="194"/>
      <c r="C329" s="194"/>
      <c r="D329" s="194"/>
      <c r="E329" s="194"/>
      <c r="F329" s="194"/>
      <c r="G329" s="202"/>
      <c r="H329" s="203"/>
      <c r="I329" s="203"/>
      <c r="J329" s="203"/>
      <c r="K329" s="203"/>
      <c r="L329" s="204"/>
      <c r="M329" s="203"/>
      <c r="N329" s="203"/>
      <c r="O329" s="194"/>
      <c r="P329" s="194"/>
      <c r="Q329" s="194"/>
      <c r="R329" s="194"/>
    </row>
    <row r="330" ht="16.8" customHeight="1" spans="1:18" x14ac:dyDescent="0.25">
      <c r="A330" s="194"/>
      <c r="B330" s="194"/>
      <c r="C330" s="194"/>
      <c r="D330" s="194"/>
      <c r="E330" s="194"/>
      <c r="F330" s="194"/>
      <c r="G330" s="202"/>
      <c r="H330" s="203"/>
      <c r="I330" s="203"/>
      <c r="J330" s="203"/>
      <c r="K330" s="203"/>
      <c r="L330" s="204"/>
      <c r="M330" s="203"/>
      <c r="N330" s="203"/>
      <c r="O330" s="194"/>
      <c r="P330" s="194"/>
      <c r="Q330" s="194"/>
      <c r="R330" s="194"/>
    </row>
    <row r="331" ht="16.8" customHeight="1" spans="1:18" x14ac:dyDescent="0.25">
      <c r="A331" s="194"/>
      <c r="B331" s="194"/>
      <c r="C331" s="194"/>
      <c r="D331" s="194"/>
      <c r="E331" s="194"/>
      <c r="F331" s="194"/>
      <c r="G331" s="202"/>
      <c r="H331" s="203"/>
      <c r="I331" s="203"/>
      <c r="J331" s="203"/>
      <c r="K331" s="203"/>
      <c r="L331" s="204"/>
      <c r="M331" s="203"/>
      <c r="N331" s="203"/>
      <c r="O331" s="194"/>
      <c r="P331" s="194"/>
      <c r="Q331" s="194"/>
      <c r="R331" s="194"/>
    </row>
    <row r="332" ht="16.8" customHeight="1" spans="1:18" x14ac:dyDescent="0.25">
      <c r="A332" s="194"/>
      <c r="B332" s="194"/>
      <c r="C332" s="194"/>
      <c r="D332" s="194"/>
      <c r="E332" s="194"/>
      <c r="F332" s="194"/>
      <c r="G332" s="202"/>
      <c r="H332" s="203"/>
      <c r="I332" s="203"/>
      <c r="J332" s="203"/>
      <c r="K332" s="203"/>
      <c r="L332" s="204"/>
      <c r="M332" s="203"/>
      <c r="N332" s="203"/>
      <c r="O332" s="194"/>
      <c r="P332" s="194"/>
      <c r="Q332" s="194"/>
      <c r="R332" s="194"/>
    </row>
    <row r="333" ht="16.8" customHeight="1" spans="1:18" x14ac:dyDescent="0.25">
      <c r="A333" s="194"/>
      <c r="B333" s="194"/>
      <c r="C333" s="194"/>
      <c r="D333" s="194"/>
      <c r="E333" s="194"/>
      <c r="F333" s="194"/>
      <c r="G333" s="202"/>
      <c r="H333" s="203"/>
      <c r="I333" s="203"/>
      <c r="J333" s="203"/>
      <c r="K333" s="203"/>
      <c r="L333" s="204"/>
      <c r="M333" s="203"/>
      <c r="N333" s="203"/>
      <c r="O333" s="194"/>
      <c r="P333" s="194"/>
      <c r="Q333" s="194"/>
      <c r="R333" s="194"/>
    </row>
    <row r="334" ht="16.8" customHeight="1" spans="1:18" x14ac:dyDescent="0.25">
      <c r="A334" s="194"/>
      <c r="B334" s="194"/>
      <c r="C334" s="194"/>
      <c r="D334" s="194"/>
      <c r="E334" s="194"/>
      <c r="F334" s="194"/>
      <c r="G334" s="202"/>
      <c r="H334" s="203"/>
      <c r="I334" s="203"/>
      <c r="J334" s="203"/>
      <c r="K334" s="203"/>
      <c r="L334" s="204"/>
      <c r="M334" s="203"/>
      <c r="N334" s="203"/>
      <c r="O334" s="194"/>
      <c r="P334" s="194"/>
      <c r="Q334" s="194"/>
      <c r="R334" s="194"/>
    </row>
    <row r="335" ht="16.8" customHeight="1" spans="1:18" x14ac:dyDescent="0.25">
      <c r="A335" s="194"/>
      <c r="B335" s="194"/>
      <c r="C335" s="194"/>
      <c r="D335" s="194"/>
      <c r="E335" s="194"/>
      <c r="F335" s="194"/>
      <c r="G335" s="202"/>
      <c r="H335" s="203"/>
      <c r="I335" s="203"/>
      <c r="J335" s="203"/>
      <c r="K335" s="203"/>
      <c r="L335" s="204"/>
      <c r="M335" s="203"/>
      <c r="N335" s="203"/>
      <c r="O335" s="194"/>
      <c r="P335" s="194"/>
      <c r="Q335" s="194"/>
      <c r="R335" s="194"/>
    </row>
    <row r="336" ht="16.8" customHeight="1" spans="1:18" x14ac:dyDescent="0.25">
      <c r="A336" s="194"/>
      <c r="B336" s="194"/>
      <c r="C336" s="194"/>
      <c r="D336" s="194"/>
      <c r="E336" s="194"/>
      <c r="F336" s="194"/>
      <c r="G336" s="202"/>
      <c r="H336" s="203"/>
      <c r="I336" s="203"/>
      <c r="J336" s="203"/>
      <c r="K336" s="203"/>
      <c r="L336" s="204"/>
      <c r="M336" s="203"/>
      <c r="N336" s="203"/>
      <c r="O336" s="194"/>
      <c r="P336" s="194"/>
      <c r="Q336" s="194"/>
      <c r="R336" s="194"/>
    </row>
    <row r="337" ht="16.8" customHeight="1" spans="1:18" x14ac:dyDescent="0.25">
      <c r="A337" s="194"/>
      <c r="B337" s="194"/>
      <c r="C337" s="194"/>
      <c r="D337" s="194"/>
      <c r="E337" s="194"/>
      <c r="F337" s="194"/>
      <c r="G337" s="202"/>
      <c r="H337" s="203"/>
      <c r="I337" s="203"/>
      <c r="J337" s="203"/>
      <c r="K337" s="203"/>
      <c r="L337" s="204"/>
      <c r="M337" s="203"/>
      <c r="N337" s="203"/>
      <c r="O337" s="194"/>
      <c r="P337" s="194"/>
      <c r="Q337" s="194"/>
      <c r="R337" s="194"/>
    </row>
    <row r="338" ht="16.8" customHeight="1" spans="1:18" x14ac:dyDescent="0.25">
      <c r="A338" s="194"/>
      <c r="B338" s="194"/>
      <c r="C338" s="194"/>
      <c r="D338" s="194"/>
      <c r="E338" s="194"/>
      <c r="F338" s="194"/>
      <c r="G338" s="202"/>
      <c r="H338" s="203"/>
      <c r="I338" s="203"/>
      <c r="J338" s="203"/>
      <c r="K338" s="203"/>
      <c r="L338" s="204"/>
      <c r="M338" s="203"/>
      <c r="N338" s="203"/>
      <c r="O338" s="194"/>
      <c r="P338" s="194"/>
      <c r="Q338" s="194"/>
      <c r="R338" s="194"/>
    </row>
    <row r="339" ht="16.8" customHeight="1" spans="1:18" x14ac:dyDescent="0.25">
      <c r="A339" s="194"/>
      <c r="B339" s="194"/>
      <c r="C339" s="194"/>
      <c r="D339" s="194"/>
      <c r="E339" s="194"/>
      <c r="F339" s="194"/>
      <c r="G339" s="202"/>
      <c r="H339" s="203"/>
      <c r="I339" s="203"/>
      <c r="J339" s="203"/>
      <c r="K339" s="203"/>
      <c r="L339" s="204"/>
      <c r="M339" s="203"/>
      <c r="N339" s="203"/>
      <c r="O339" s="194"/>
      <c r="P339" s="194"/>
      <c r="Q339" s="194"/>
      <c r="R339" s="194"/>
    </row>
    <row r="340" ht="16.8" customHeight="1" spans="1:18" x14ac:dyDescent="0.25">
      <c r="A340" s="194"/>
      <c r="B340" s="194"/>
      <c r="C340" s="194"/>
      <c r="D340" s="194"/>
      <c r="E340" s="194"/>
      <c r="F340" s="194"/>
      <c r="G340" s="202"/>
      <c r="H340" s="203"/>
      <c r="I340" s="203"/>
      <c r="J340" s="203"/>
      <c r="K340" s="203"/>
      <c r="L340" s="204"/>
      <c r="M340" s="203"/>
      <c r="N340" s="203"/>
      <c r="O340" s="194"/>
      <c r="P340" s="194"/>
      <c r="Q340" s="194"/>
      <c r="R340" s="194"/>
    </row>
    <row r="341" ht="16.8" customHeight="1" spans="1:18" x14ac:dyDescent="0.25">
      <c r="A341" s="194"/>
      <c r="B341" s="194"/>
      <c r="C341" s="194"/>
      <c r="D341" s="194"/>
      <c r="E341" s="194"/>
      <c r="F341" s="194"/>
      <c r="G341" s="202"/>
      <c r="H341" s="203"/>
      <c r="I341" s="203"/>
      <c r="J341" s="203"/>
      <c r="K341" s="203"/>
      <c r="L341" s="204"/>
      <c r="M341" s="203"/>
      <c r="N341" s="203"/>
      <c r="O341" s="194"/>
      <c r="P341" s="194"/>
      <c r="Q341" s="194"/>
      <c r="R341" s="194"/>
    </row>
    <row r="342" ht="16.8" customHeight="1" spans="1:18" x14ac:dyDescent="0.25">
      <c r="A342" s="194"/>
      <c r="B342" s="194"/>
      <c r="C342" s="194"/>
      <c r="D342" s="194"/>
      <c r="E342" s="194"/>
      <c r="F342" s="194"/>
      <c r="G342" s="202"/>
      <c r="H342" s="203"/>
      <c r="I342" s="203"/>
      <c r="J342" s="203"/>
      <c r="K342" s="203"/>
      <c r="L342" s="204"/>
      <c r="M342" s="203"/>
      <c r="N342" s="203"/>
      <c r="O342" s="194"/>
      <c r="P342" s="194"/>
      <c r="Q342" s="194"/>
      <c r="R342" s="194"/>
    </row>
    <row r="343" ht="16.8" customHeight="1" spans="1:18" x14ac:dyDescent="0.25">
      <c r="A343" s="194"/>
      <c r="B343" s="194"/>
      <c r="C343" s="194"/>
      <c r="D343" s="194"/>
      <c r="E343" s="194"/>
      <c r="F343" s="194"/>
      <c r="G343" s="202"/>
      <c r="H343" s="203"/>
      <c r="I343" s="203"/>
      <c r="J343" s="203"/>
      <c r="K343" s="203"/>
      <c r="L343" s="204"/>
      <c r="M343" s="203"/>
      <c r="N343" s="203"/>
      <c r="O343" s="194"/>
      <c r="P343" s="194"/>
      <c r="Q343" s="194"/>
      <c r="R343" s="194"/>
    </row>
    <row r="344" ht="16.8" customHeight="1" spans="1:18" x14ac:dyDescent="0.25">
      <c r="A344" s="194"/>
      <c r="B344" s="194"/>
      <c r="C344" s="194"/>
      <c r="D344" s="194"/>
      <c r="E344" s="194"/>
      <c r="F344" s="194"/>
      <c r="G344" s="202"/>
      <c r="H344" s="203"/>
      <c r="I344" s="203"/>
      <c r="J344" s="203"/>
      <c r="K344" s="203"/>
      <c r="L344" s="204"/>
      <c r="M344" s="203"/>
      <c r="N344" s="203"/>
      <c r="O344" s="194"/>
      <c r="P344" s="194"/>
      <c r="Q344" s="194"/>
      <c r="R344" s="194"/>
    </row>
    <row r="345" ht="16.8" customHeight="1" spans="1:18" x14ac:dyDescent="0.25">
      <c r="A345" s="194"/>
      <c r="B345" s="194"/>
      <c r="C345" s="194"/>
      <c r="D345" s="194"/>
      <c r="E345" s="194"/>
      <c r="F345" s="194"/>
      <c r="G345" s="202"/>
      <c r="H345" s="203"/>
      <c r="I345" s="203"/>
      <c r="J345" s="203"/>
      <c r="K345" s="203"/>
      <c r="L345" s="204"/>
      <c r="M345" s="203"/>
      <c r="N345" s="203"/>
      <c r="O345" s="194"/>
      <c r="P345" s="194"/>
      <c r="Q345" s="194"/>
      <c r="R345" s="194"/>
    </row>
    <row r="346" ht="16.8" customHeight="1" spans="1:18" x14ac:dyDescent="0.25">
      <c r="A346" s="194"/>
      <c r="B346" s="194"/>
      <c r="C346" s="194"/>
      <c r="D346" s="194"/>
      <c r="E346" s="194"/>
      <c r="F346" s="194"/>
      <c r="G346" s="202"/>
      <c r="H346" s="203"/>
      <c r="I346" s="203"/>
      <c r="J346" s="203"/>
      <c r="K346" s="203"/>
      <c r="L346" s="204"/>
      <c r="M346" s="203"/>
      <c r="N346" s="203"/>
      <c r="O346" s="194"/>
      <c r="P346" s="194"/>
      <c r="Q346" s="194"/>
      <c r="R346" s="194"/>
    </row>
    <row r="347" ht="16.8" customHeight="1" spans="1:18" x14ac:dyDescent="0.25">
      <c r="A347" s="194"/>
      <c r="B347" s="194"/>
      <c r="C347" s="194"/>
      <c r="D347" s="194"/>
      <c r="E347" s="194"/>
      <c r="F347" s="194"/>
      <c r="G347" s="202"/>
      <c r="H347" s="203"/>
      <c r="I347" s="203"/>
      <c r="J347" s="203"/>
      <c r="K347" s="203"/>
      <c r="L347" s="204"/>
      <c r="M347" s="203"/>
      <c r="N347" s="203"/>
      <c r="O347" s="194"/>
      <c r="P347" s="194"/>
      <c r="Q347" s="194"/>
      <c r="R347" s="194"/>
    </row>
    <row r="348" ht="16.8" customHeight="1" spans="1:18" x14ac:dyDescent="0.25">
      <c r="A348" s="194"/>
      <c r="B348" s="194"/>
      <c r="C348" s="194"/>
      <c r="D348" s="194"/>
      <c r="E348" s="194"/>
      <c r="F348" s="194"/>
      <c r="G348" s="202"/>
      <c r="H348" s="203"/>
      <c r="I348" s="203"/>
      <c r="J348" s="203"/>
      <c r="K348" s="203"/>
      <c r="L348" s="204"/>
      <c r="M348" s="203"/>
      <c r="N348" s="203"/>
      <c r="O348" s="194"/>
      <c r="P348" s="194"/>
      <c r="Q348" s="194"/>
      <c r="R348" s="194"/>
    </row>
    <row r="349" ht="16.8" customHeight="1" spans="1:18" x14ac:dyDescent="0.25">
      <c r="A349" s="194"/>
      <c r="B349" s="194"/>
      <c r="C349" s="194"/>
      <c r="D349" s="194"/>
      <c r="E349" s="194"/>
      <c r="F349" s="194"/>
      <c r="G349" s="202"/>
      <c r="H349" s="203"/>
      <c r="I349" s="203"/>
      <c r="J349" s="203"/>
      <c r="K349" s="203"/>
      <c r="L349" s="204"/>
      <c r="M349" s="203"/>
      <c r="N349" s="203"/>
      <c r="O349" s="194"/>
      <c r="P349" s="194"/>
      <c r="Q349" s="194"/>
      <c r="R349" s="194"/>
    </row>
    <row r="350" ht="16.8" customHeight="1" spans="1:18" x14ac:dyDescent="0.25">
      <c r="A350" s="194"/>
      <c r="B350" s="194"/>
      <c r="C350" s="194"/>
      <c r="D350" s="194"/>
      <c r="E350" s="194"/>
      <c r="F350" s="194"/>
      <c r="G350" s="202"/>
      <c r="H350" s="203"/>
      <c r="I350" s="203"/>
      <c r="J350" s="203"/>
      <c r="K350" s="203"/>
      <c r="L350" s="204"/>
      <c r="M350" s="203"/>
      <c r="N350" s="203"/>
      <c r="O350" s="194"/>
      <c r="P350" s="194"/>
      <c r="Q350" s="194"/>
      <c r="R350" s="194"/>
    </row>
    <row r="351" ht="16.8" customHeight="1" spans="1:18" x14ac:dyDescent="0.25">
      <c r="A351" s="194"/>
      <c r="B351" s="194"/>
      <c r="C351" s="194"/>
      <c r="D351" s="194"/>
      <c r="E351" s="194"/>
      <c r="F351" s="194"/>
      <c r="G351" s="202"/>
      <c r="H351" s="203"/>
      <c r="I351" s="203"/>
      <c r="J351" s="203"/>
      <c r="K351" s="203"/>
      <c r="L351" s="204"/>
      <c r="M351" s="203"/>
      <c r="N351" s="203"/>
      <c r="O351" s="194"/>
      <c r="P351" s="194"/>
      <c r="Q351" s="194"/>
      <c r="R351" s="194"/>
    </row>
    <row r="352" ht="16.8" customHeight="1" spans="1:18" x14ac:dyDescent="0.25">
      <c r="A352" s="194"/>
      <c r="B352" s="194"/>
      <c r="C352" s="194"/>
      <c r="D352" s="194"/>
      <c r="E352" s="194"/>
      <c r="F352" s="194"/>
      <c r="G352" s="202"/>
      <c r="H352" s="203"/>
      <c r="I352" s="203"/>
      <c r="J352" s="203"/>
      <c r="K352" s="203"/>
      <c r="L352" s="204"/>
      <c r="M352" s="203"/>
      <c r="N352" s="203"/>
      <c r="O352" s="194"/>
      <c r="P352" s="194"/>
      <c r="Q352" s="194"/>
      <c r="R352" s="194"/>
    </row>
    <row r="353" ht="16.8" customHeight="1" spans="1:18" x14ac:dyDescent="0.25">
      <c r="A353" s="194"/>
      <c r="B353" s="194"/>
      <c r="C353" s="194"/>
      <c r="D353" s="194"/>
      <c r="E353" s="194"/>
      <c r="F353" s="194"/>
      <c r="G353" s="202"/>
      <c r="H353" s="203"/>
      <c r="I353" s="203"/>
      <c r="J353" s="203"/>
      <c r="K353" s="203"/>
      <c r="L353" s="204"/>
      <c r="M353" s="203"/>
      <c r="N353" s="203"/>
      <c r="O353" s="194"/>
      <c r="P353" s="194"/>
      <c r="Q353" s="194"/>
      <c r="R353" s="194"/>
    </row>
    <row r="354" ht="16.8" customHeight="1" spans="1:18" x14ac:dyDescent="0.25">
      <c r="A354" s="194"/>
      <c r="B354" s="194"/>
      <c r="C354" s="194"/>
      <c r="D354" s="194"/>
      <c r="E354" s="194"/>
      <c r="F354" s="194"/>
      <c r="G354" s="202"/>
      <c r="H354" s="203"/>
      <c r="I354" s="203"/>
      <c r="J354" s="203"/>
      <c r="K354" s="203"/>
      <c r="L354" s="204"/>
      <c r="M354" s="203"/>
      <c r="N354" s="203"/>
      <c r="O354" s="194"/>
      <c r="P354" s="194"/>
      <c r="Q354" s="194"/>
      <c r="R354" s="194"/>
    </row>
    <row r="355" ht="16.8" customHeight="1" spans="1:18" x14ac:dyDescent="0.25">
      <c r="A355" s="194"/>
      <c r="B355" s="194"/>
      <c r="C355" s="194"/>
      <c r="D355" s="194"/>
      <c r="E355" s="194"/>
      <c r="F355" s="194"/>
      <c r="G355" s="202"/>
      <c r="H355" s="203"/>
      <c r="I355" s="203"/>
      <c r="J355" s="203"/>
      <c r="K355" s="203"/>
      <c r="L355" s="204"/>
      <c r="M355" s="203"/>
      <c r="N355" s="203"/>
      <c r="O355" s="194"/>
      <c r="P355" s="194"/>
      <c r="Q355" s="194"/>
      <c r="R355" s="194"/>
    </row>
    <row r="356" ht="16.8" customHeight="1" spans="1:18" x14ac:dyDescent="0.25">
      <c r="A356" s="194"/>
      <c r="B356" s="194"/>
      <c r="C356" s="194"/>
      <c r="D356" s="194"/>
      <c r="E356" s="194"/>
      <c r="F356" s="194"/>
      <c r="G356" s="202"/>
      <c r="H356" s="203"/>
      <c r="I356" s="203"/>
      <c r="J356" s="203"/>
      <c r="K356" s="203"/>
      <c r="L356" s="204"/>
      <c r="M356" s="203"/>
      <c r="N356" s="203"/>
      <c r="O356" s="194"/>
      <c r="P356" s="194"/>
      <c r="Q356" s="194"/>
      <c r="R356" s="194"/>
    </row>
    <row r="357" ht="16.8" customHeight="1" spans="1:18" x14ac:dyDescent="0.25">
      <c r="A357" s="194"/>
      <c r="B357" s="194"/>
      <c r="C357" s="194"/>
      <c r="D357" s="194"/>
      <c r="E357" s="194"/>
      <c r="F357" s="194"/>
      <c r="G357" s="202"/>
      <c r="H357" s="203"/>
      <c r="I357" s="203"/>
      <c r="J357" s="203"/>
      <c r="K357" s="203"/>
      <c r="L357" s="204"/>
      <c r="M357" s="203"/>
      <c r="N357" s="203"/>
      <c r="O357" s="194"/>
      <c r="P357" s="194"/>
      <c r="Q357" s="194"/>
      <c r="R357" s="194"/>
    </row>
    <row r="358" ht="16.8" customHeight="1" spans="1:18" x14ac:dyDescent="0.25">
      <c r="A358" s="194"/>
      <c r="B358" s="194"/>
      <c r="C358" s="194"/>
      <c r="D358" s="194"/>
      <c r="E358" s="194"/>
      <c r="F358" s="194"/>
      <c r="G358" s="202"/>
      <c r="H358" s="203"/>
      <c r="I358" s="203"/>
      <c r="J358" s="203"/>
      <c r="K358" s="203"/>
      <c r="L358" s="204"/>
      <c r="M358" s="203"/>
      <c r="N358" s="203"/>
      <c r="O358" s="194"/>
      <c r="P358" s="194"/>
      <c r="Q358" s="194"/>
      <c r="R358" s="194"/>
    </row>
    <row r="359" ht="16.8" customHeight="1" spans="1:18" x14ac:dyDescent="0.25">
      <c r="A359" s="194"/>
      <c r="B359" s="194"/>
      <c r="C359" s="194"/>
      <c r="D359" s="194"/>
      <c r="E359" s="194"/>
      <c r="F359" s="194"/>
      <c r="G359" s="202"/>
      <c r="H359" s="203"/>
      <c r="I359" s="203"/>
      <c r="J359" s="203"/>
      <c r="K359" s="203"/>
      <c r="L359" s="204"/>
      <c r="M359" s="203"/>
      <c r="N359" s="203"/>
      <c r="O359" s="194"/>
      <c r="P359" s="194"/>
      <c r="Q359" s="194"/>
      <c r="R359" s="194"/>
    </row>
    <row r="360" ht="16.8" customHeight="1" spans="1:18" x14ac:dyDescent="0.25">
      <c r="A360" s="194"/>
      <c r="B360" s="194"/>
      <c r="C360" s="194"/>
      <c r="D360" s="194"/>
      <c r="E360" s="194"/>
      <c r="F360" s="194"/>
      <c r="G360" s="202"/>
      <c r="H360" s="203"/>
      <c r="I360" s="203"/>
      <c r="J360" s="203"/>
      <c r="K360" s="203"/>
      <c r="L360" s="204"/>
      <c r="M360" s="203"/>
      <c r="N360" s="203"/>
      <c r="O360" s="194"/>
      <c r="P360" s="194"/>
      <c r="Q360" s="194"/>
      <c r="R360" s="194"/>
    </row>
    <row r="361" ht="16.8" customHeight="1" spans="1:18" x14ac:dyDescent="0.25">
      <c r="A361" s="194"/>
      <c r="B361" s="194"/>
      <c r="C361" s="194"/>
      <c r="D361" s="194"/>
      <c r="E361" s="194"/>
      <c r="F361" s="194"/>
      <c r="G361" s="202"/>
      <c r="H361" s="203"/>
      <c r="I361" s="203"/>
      <c r="J361" s="203"/>
      <c r="K361" s="203"/>
      <c r="L361" s="204"/>
      <c r="M361" s="203"/>
      <c r="N361" s="203"/>
      <c r="O361" s="194"/>
      <c r="P361" s="194"/>
      <c r="Q361" s="194"/>
      <c r="R361" s="194"/>
    </row>
    <row r="362" ht="16.8" customHeight="1" spans="1:18" x14ac:dyDescent="0.25">
      <c r="A362" s="194"/>
      <c r="B362" s="194"/>
      <c r="C362" s="194"/>
      <c r="D362" s="194"/>
      <c r="E362" s="194"/>
      <c r="F362" s="194"/>
      <c r="G362" s="202"/>
      <c r="H362" s="203"/>
      <c r="I362" s="203"/>
      <c r="J362" s="203"/>
      <c r="K362" s="203"/>
      <c r="L362" s="204"/>
      <c r="M362" s="203"/>
      <c r="N362" s="203"/>
      <c r="O362" s="194"/>
      <c r="P362" s="194"/>
      <c r="Q362" s="194"/>
      <c r="R362" s="194"/>
    </row>
    <row r="363" ht="16.8" customHeight="1" spans="1:18" x14ac:dyDescent="0.25">
      <c r="A363" s="194"/>
      <c r="B363" s="194"/>
      <c r="C363" s="194"/>
      <c r="D363" s="194"/>
      <c r="E363" s="194"/>
      <c r="F363" s="194"/>
      <c r="G363" s="202"/>
      <c r="H363" s="203"/>
      <c r="I363" s="203"/>
      <c r="J363" s="203"/>
      <c r="K363" s="203"/>
      <c r="L363" s="204"/>
      <c r="M363" s="203"/>
      <c r="N363" s="203"/>
      <c r="O363" s="194"/>
      <c r="P363" s="194"/>
      <c r="Q363" s="194"/>
      <c r="R363" s="194"/>
    </row>
    <row r="364" ht="16.8" customHeight="1" spans="1:18" x14ac:dyDescent="0.25">
      <c r="A364" s="194"/>
      <c r="B364" s="194"/>
      <c r="C364" s="194"/>
      <c r="D364" s="194"/>
      <c r="E364" s="194"/>
      <c r="F364" s="194"/>
      <c r="G364" s="202"/>
      <c r="H364" s="203"/>
      <c r="I364" s="203"/>
      <c r="J364" s="203"/>
      <c r="K364" s="203"/>
      <c r="L364" s="204"/>
      <c r="M364" s="203"/>
      <c r="N364" s="203"/>
      <c r="O364" s="194"/>
      <c r="P364" s="194"/>
      <c r="Q364" s="194"/>
      <c r="R364" s="194"/>
    </row>
    <row r="365" ht="16.8" customHeight="1" spans="1:18" x14ac:dyDescent="0.25">
      <c r="A365" s="194"/>
      <c r="B365" s="194"/>
      <c r="C365" s="194"/>
      <c r="D365" s="194"/>
      <c r="E365" s="194"/>
      <c r="F365" s="194"/>
      <c r="G365" s="202"/>
      <c r="H365" s="203"/>
      <c r="I365" s="203"/>
      <c r="J365" s="203"/>
      <c r="K365" s="203"/>
      <c r="L365" s="204"/>
      <c r="M365" s="203"/>
      <c r="N365" s="203"/>
      <c r="O365" s="194"/>
      <c r="P365" s="194"/>
      <c r="Q365" s="194"/>
      <c r="R365" s="194"/>
    </row>
    <row r="366" ht="16.8" customHeight="1" spans="1:18" x14ac:dyDescent="0.25">
      <c r="A366" s="194"/>
      <c r="B366" s="194"/>
      <c r="C366" s="194"/>
      <c r="D366" s="194"/>
      <c r="E366" s="194"/>
      <c r="F366" s="194"/>
      <c r="G366" s="202"/>
      <c r="H366" s="203"/>
      <c r="I366" s="203"/>
      <c r="J366" s="203"/>
      <c r="K366" s="203"/>
      <c r="L366" s="204"/>
      <c r="M366" s="203"/>
      <c r="N366" s="203"/>
      <c r="O366" s="194"/>
      <c r="P366" s="194"/>
      <c r="Q366" s="194"/>
      <c r="R366" s="194"/>
    </row>
    <row r="367" ht="16.8" customHeight="1" spans="1:18" x14ac:dyDescent="0.25">
      <c r="A367" s="194"/>
      <c r="B367" s="194"/>
      <c r="C367" s="194"/>
      <c r="D367" s="194"/>
      <c r="E367" s="194"/>
      <c r="F367" s="194"/>
      <c r="G367" s="202"/>
      <c r="H367" s="203"/>
      <c r="I367" s="203"/>
      <c r="J367" s="203"/>
      <c r="K367" s="203"/>
      <c r="L367" s="204"/>
      <c r="M367" s="203"/>
      <c r="N367" s="203"/>
      <c r="O367" s="194"/>
      <c r="P367" s="194"/>
      <c r="Q367" s="194"/>
      <c r="R367" s="194"/>
    </row>
    <row r="368" ht="16.8" customHeight="1" spans="1:18" x14ac:dyDescent="0.25">
      <c r="A368" s="194"/>
      <c r="B368" s="194"/>
      <c r="C368" s="194"/>
      <c r="D368" s="194"/>
      <c r="E368" s="194"/>
      <c r="F368" s="194"/>
      <c r="G368" s="202"/>
      <c r="H368" s="203"/>
      <c r="I368" s="203"/>
      <c r="J368" s="203"/>
      <c r="K368" s="203"/>
      <c r="L368" s="204"/>
      <c r="M368" s="203"/>
      <c r="N368" s="203"/>
      <c r="O368" s="194"/>
      <c r="P368" s="194"/>
      <c r="Q368" s="194"/>
      <c r="R368" s="194"/>
    </row>
    <row r="369" ht="16.8" customHeight="1" spans="1:18" x14ac:dyDescent="0.25">
      <c r="A369" s="194"/>
      <c r="B369" s="194"/>
      <c r="C369" s="194"/>
      <c r="D369" s="194"/>
      <c r="E369" s="194"/>
      <c r="F369" s="194"/>
      <c r="G369" s="202"/>
      <c r="H369" s="203"/>
      <c r="I369" s="203"/>
      <c r="J369" s="203"/>
      <c r="K369" s="203"/>
      <c r="L369" s="204"/>
      <c r="M369" s="203"/>
      <c r="N369" s="203"/>
      <c r="O369" s="194"/>
      <c r="P369" s="194"/>
      <c r="Q369" s="194"/>
      <c r="R369" s="194"/>
    </row>
    <row r="370" ht="16.8" customHeight="1" spans="1:18" x14ac:dyDescent="0.25">
      <c r="A370" s="194"/>
      <c r="B370" s="194"/>
      <c r="C370" s="194"/>
      <c r="D370" s="194"/>
      <c r="E370" s="194"/>
      <c r="F370" s="194"/>
      <c r="G370" s="202"/>
      <c r="H370" s="203"/>
      <c r="I370" s="203"/>
      <c r="J370" s="203"/>
      <c r="K370" s="203"/>
      <c r="L370" s="204"/>
      <c r="M370" s="203"/>
      <c r="N370" s="203"/>
      <c r="O370" s="194"/>
      <c r="P370" s="194"/>
      <c r="Q370" s="194"/>
      <c r="R370" s="194"/>
    </row>
    <row r="371" ht="16.8" customHeight="1" spans="1:18" x14ac:dyDescent="0.25">
      <c r="A371" s="194"/>
      <c r="B371" s="194"/>
      <c r="C371" s="194"/>
      <c r="D371" s="194"/>
      <c r="E371" s="194"/>
      <c r="F371" s="194"/>
      <c r="G371" s="202"/>
      <c r="H371" s="203"/>
      <c r="I371" s="203"/>
      <c r="J371" s="203"/>
      <c r="K371" s="203"/>
      <c r="L371" s="204"/>
      <c r="M371" s="203"/>
      <c r="N371" s="203"/>
      <c r="O371" s="194"/>
      <c r="P371" s="194"/>
      <c r="Q371" s="194"/>
      <c r="R371" s="194"/>
    </row>
    <row r="372" ht="16.8" customHeight="1" spans="1:18" x14ac:dyDescent="0.25">
      <c r="A372" s="194"/>
      <c r="B372" s="194"/>
      <c r="C372" s="194"/>
      <c r="D372" s="194"/>
      <c r="E372" s="194"/>
      <c r="F372" s="194"/>
      <c r="G372" s="202"/>
      <c r="H372" s="203"/>
      <c r="I372" s="203"/>
      <c r="J372" s="203"/>
      <c r="K372" s="203"/>
      <c r="L372" s="204"/>
      <c r="M372" s="203"/>
      <c r="N372" s="203"/>
      <c r="O372" s="194"/>
      <c r="P372" s="194"/>
      <c r="Q372" s="194"/>
      <c r="R372" s="194"/>
    </row>
    <row r="373" ht="16.8" customHeight="1" spans="1:18" x14ac:dyDescent="0.25">
      <c r="A373" s="194"/>
      <c r="B373" s="194"/>
      <c r="C373" s="194"/>
      <c r="D373" s="194"/>
      <c r="E373" s="194"/>
      <c r="F373" s="194"/>
      <c r="G373" s="202"/>
      <c r="H373" s="203"/>
      <c r="I373" s="203"/>
      <c r="J373" s="203"/>
      <c r="K373" s="203"/>
      <c r="L373" s="204"/>
      <c r="M373" s="203"/>
      <c r="N373" s="203"/>
      <c r="O373" s="194"/>
      <c r="P373" s="194"/>
      <c r="Q373" s="194"/>
      <c r="R373" s="194"/>
    </row>
    <row r="374" ht="16.8" customHeight="1" spans="1:18" x14ac:dyDescent="0.25">
      <c r="A374" s="194"/>
      <c r="B374" s="194"/>
      <c r="C374" s="194"/>
      <c r="D374" s="194"/>
      <c r="E374" s="194"/>
      <c r="F374" s="194"/>
      <c r="G374" s="202"/>
      <c r="H374" s="203"/>
      <c r="I374" s="203"/>
      <c r="J374" s="203"/>
      <c r="K374" s="203"/>
      <c r="L374" s="204"/>
      <c r="M374" s="203"/>
      <c r="N374" s="203"/>
      <c r="O374" s="194"/>
      <c r="P374" s="194"/>
      <c r="Q374" s="194"/>
      <c r="R374" s="194"/>
    </row>
    <row r="375" ht="16.8" customHeight="1" spans="1:18" x14ac:dyDescent="0.25">
      <c r="A375" s="194"/>
      <c r="B375" s="194"/>
      <c r="C375" s="194"/>
      <c r="D375" s="194"/>
      <c r="E375" s="194"/>
      <c r="F375" s="194"/>
      <c r="G375" s="202"/>
      <c r="H375" s="203"/>
      <c r="I375" s="203"/>
      <c r="J375" s="203"/>
      <c r="K375" s="203"/>
      <c r="L375" s="204"/>
      <c r="M375" s="203"/>
      <c r="N375" s="203"/>
      <c r="O375" s="194"/>
      <c r="P375" s="194"/>
      <c r="Q375" s="194"/>
      <c r="R375" s="194"/>
    </row>
    <row r="376" ht="16.8" customHeight="1" spans="1:18" x14ac:dyDescent="0.25">
      <c r="A376" s="194"/>
      <c r="B376" s="194"/>
      <c r="C376" s="194"/>
      <c r="D376" s="194"/>
      <c r="E376" s="194"/>
      <c r="F376" s="194"/>
      <c r="G376" s="202"/>
      <c r="H376" s="203"/>
      <c r="I376" s="203"/>
      <c r="J376" s="203"/>
      <c r="K376" s="203"/>
      <c r="L376" s="204"/>
      <c r="M376" s="203"/>
      <c r="N376" s="203"/>
      <c r="O376" s="194"/>
      <c r="P376" s="194"/>
      <c r="Q376" s="194"/>
      <c r="R376" s="194"/>
    </row>
    <row r="377" ht="16.8" customHeight="1" spans="1:18" x14ac:dyDescent="0.25">
      <c r="A377" s="194"/>
      <c r="B377" s="194"/>
      <c r="C377" s="194"/>
      <c r="D377" s="194"/>
      <c r="E377" s="194"/>
      <c r="F377" s="194"/>
      <c r="G377" s="202"/>
      <c r="H377" s="203"/>
      <c r="I377" s="203"/>
      <c r="J377" s="203"/>
      <c r="K377" s="203"/>
      <c r="L377" s="204"/>
      <c r="M377" s="203"/>
      <c r="N377" s="203"/>
      <c r="O377" s="194"/>
      <c r="P377" s="194"/>
      <c r="Q377" s="194"/>
      <c r="R377" s="194"/>
    </row>
    <row r="378" ht="16.8" customHeight="1" spans="1:18" x14ac:dyDescent="0.25">
      <c r="A378" s="194"/>
      <c r="B378" s="194"/>
      <c r="C378" s="194"/>
      <c r="D378" s="194"/>
      <c r="E378" s="194"/>
      <c r="F378" s="194"/>
      <c r="G378" s="202"/>
      <c r="H378" s="203"/>
      <c r="I378" s="203"/>
      <c r="J378" s="203"/>
      <c r="K378" s="203"/>
      <c r="L378" s="204"/>
      <c r="M378" s="203"/>
      <c r="N378" s="203"/>
      <c r="O378" s="194"/>
      <c r="P378" s="194"/>
      <c r="Q378" s="194"/>
      <c r="R378" s="194"/>
    </row>
    <row r="379" ht="16.8" customHeight="1" spans="1:18" x14ac:dyDescent="0.25">
      <c r="A379" s="194"/>
      <c r="B379" s="194"/>
      <c r="C379" s="194"/>
      <c r="D379" s="194"/>
      <c r="E379" s="194"/>
      <c r="F379" s="194"/>
      <c r="G379" s="202"/>
      <c r="H379" s="203"/>
      <c r="I379" s="203"/>
      <c r="J379" s="203"/>
      <c r="K379" s="203"/>
      <c r="L379" s="204"/>
      <c r="M379" s="203"/>
      <c r="N379" s="203"/>
      <c r="O379" s="194"/>
      <c r="P379" s="194"/>
      <c r="Q379" s="194"/>
      <c r="R379" s="194"/>
    </row>
    <row r="380" ht="16.8" customHeight="1" spans="1:18" x14ac:dyDescent="0.25">
      <c r="A380" s="194"/>
      <c r="B380" s="194"/>
      <c r="C380" s="194"/>
      <c r="D380" s="194"/>
      <c r="E380" s="194"/>
      <c r="F380" s="194"/>
      <c r="G380" s="202"/>
      <c r="H380" s="203"/>
      <c r="I380" s="203"/>
      <c r="J380" s="203"/>
      <c r="K380" s="203"/>
      <c r="L380" s="204"/>
      <c r="M380" s="203"/>
      <c r="N380" s="203"/>
      <c r="O380" s="194"/>
      <c r="P380" s="194"/>
      <c r="Q380" s="194"/>
      <c r="R380" s="194"/>
    </row>
    <row r="381" ht="16.8" customHeight="1" spans="1:18" x14ac:dyDescent="0.25">
      <c r="A381" s="194"/>
      <c r="B381" s="194"/>
      <c r="C381" s="194"/>
      <c r="D381" s="194"/>
      <c r="E381" s="194"/>
      <c r="F381" s="194"/>
      <c r="G381" s="202"/>
      <c r="H381" s="203"/>
      <c r="I381" s="203"/>
      <c r="J381" s="203"/>
      <c r="K381" s="203"/>
      <c r="L381" s="204"/>
      <c r="M381" s="203"/>
      <c r="N381" s="203"/>
      <c r="O381" s="194"/>
      <c r="P381" s="194"/>
      <c r="Q381" s="194"/>
      <c r="R381" s="194"/>
    </row>
    <row r="382" ht="16.8" customHeight="1" spans="1:18" x14ac:dyDescent="0.25">
      <c r="A382" s="194"/>
      <c r="B382" s="194"/>
      <c r="C382" s="194"/>
      <c r="D382" s="194"/>
      <c r="E382" s="194"/>
      <c r="F382" s="194"/>
      <c r="G382" s="202"/>
      <c r="H382" s="203"/>
      <c r="I382" s="203"/>
      <c r="J382" s="203"/>
      <c r="K382" s="203"/>
      <c r="L382" s="204"/>
      <c r="M382" s="203"/>
      <c r="N382" s="203"/>
      <c r="O382" s="194"/>
      <c r="P382" s="194"/>
      <c r="Q382" s="194"/>
      <c r="R382" s="194"/>
    </row>
    <row r="383" ht="16.8" customHeight="1" spans="1:18" x14ac:dyDescent="0.25">
      <c r="A383" s="194"/>
      <c r="B383" s="194"/>
      <c r="C383" s="194"/>
      <c r="D383" s="194"/>
      <c r="E383" s="194"/>
      <c r="F383" s="194"/>
      <c r="G383" s="202"/>
      <c r="H383" s="203"/>
      <c r="I383" s="203"/>
      <c r="J383" s="203"/>
      <c r="K383" s="203"/>
      <c r="L383" s="204"/>
      <c r="M383" s="203"/>
      <c r="N383" s="203"/>
      <c r="O383" s="194"/>
      <c r="P383" s="194"/>
      <c r="Q383" s="194"/>
      <c r="R383" s="194"/>
    </row>
    <row r="384" ht="16.8" customHeight="1" spans="1:18" x14ac:dyDescent="0.25">
      <c r="A384" s="194"/>
      <c r="B384" s="194"/>
      <c r="C384" s="194"/>
      <c r="D384" s="194"/>
      <c r="E384" s="194"/>
      <c r="F384" s="194"/>
      <c r="G384" s="202"/>
      <c r="H384" s="203"/>
      <c r="I384" s="203"/>
      <c r="J384" s="203"/>
      <c r="K384" s="203"/>
      <c r="L384" s="204"/>
      <c r="M384" s="203"/>
      <c r="N384" s="203"/>
      <c r="O384" s="194"/>
      <c r="P384" s="194"/>
      <c r="Q384" s="194"/>
      <c r="R384" s="194"/>
    </row>
    <row r="385" ht="16.8" customHeight="1" spans="1:18" x14ac:dyDescent="0.25">
      <c r="A385" s="194"/>
      <c r="B385" s="194"/>
      <c r="C385" s="194"/>
      <c r="D385" s="194"/>
      <c r="E385" s="194"/>
      <c r="F385" s="194"/>
      <c r="G385" s="202"/>
      <c r="H385" s="203"/>
      <c r="I385" s="203"/>
      <c r="J385" s="203"/>
      <c r="K385" s="203"/>
      <c r="L385" s="204"/>
      <c r="M385" s="203"/>
      <c r="N385" s="203"/>
      <c r="O385" s="194"/>
      <c r="P385" s="194"/>
      <c r="Q385" s="194"/>
      <c r="R385" s="194"/>
    </row>
    <row r="386" ht="16.8" customHeight="1" spans="1:18" x14ac:dyDescent="0.25">
      <c r="A386" s="194"/>
      <c r="B386" s="194"/>
      <c r="C386" s="194"/>
      <c r="D386" s="194"/>
      <c r="E386" s="194"/>
      <c r="F386" s="194"/>
      <c r="G386" s="202"/>
      <c r="H386" s="203"/>
      <c r="I386" s="203"/>
      <c r="J386" s="203"/>
      <c r="K386" s="203"/>
      <c r="L386" s="204"/>
      <c r="M386" s="203"/>
      <c r="N386" s="203"/>
      <c r="O386" s="194"/>
      <c r="P386" s="194"/>
      <c r="Q386" s="194"/>
      <c r="R386" s="194"/>
    </row>
    <row r="387" ht="16.8" customHeight="1" spans="1:18" x14ac:dyDescent="0.25">
      <c r="A387" s="194"/>
      <c r="B387" s="194"/>
      <c r="C387" s="194"/>
      <c r="D387" s="194"/>
      <c r="E387" s="194"/>
      <c r="F387" s="194"/>
      <c r="G387" s="202"/>
      <c r="H387" s="203"/>
      <c r="I387" s="203"/>
      <c r="J387" s="203"/>
      <c r="K387" s="203"/>
      <c r="L387" s="204"/>
      <c r="M387" s="203"/>
      <c r="N387" s="203"/>
      <c r="O387" s="194"/>
      <c r="P387" s="194"/>
      <c r="Q387" s="194"/>
      <c r="R387" s="194"/>
    </row>
    <row r="388" ht="16.8" customHeight="1" spans="1:18" x14ac:dyDescent="0.25">
      <c r="A388" s="194"/>
      <c r="B388" s="194"/>
      <c r="C388" s="194"/>
      <c r="D388" s="194"/>
      <c r="E388" s="194"/>
      <c r="F388" s="194"/>
      <c r="G388" s="202"/>
      <c r="H388" s="203"/>
      <c r="I388" s="203"/>
      <c r="J388" s="203"/>
      <c r="K388" s="203"/>
      <c r="L388" s="204"/>
      <c r="M388" s="203"/>
      <c r="N388" s="203"/>
      <c r="O388" s="194"/>
      <c r="P388" s="194"/>
      <c r="Q388" s="194"/>
      <c r="R388" s="194"/>
    </row>
    <row r="389" ht="16.8" customHeight="1" spans="1:18" x14ac:dyDescent="0.25">
      <c r="A389" s="194"/>
      <c r="B389" s="194"/>
      <c r="C389" s="194"/>
      <c r="D389" s="194"/>
      <c r="E389" s="194"/>
      <c r="F389" s="194"/>
      <c r="G389" s="202"/>
      <c r="H389" s="203"/>
      <c r="I389" s="203"/>
      <c r="J389" s="203"/>
      <c r="K389" s="203"/>
      <c r="L389" s="204"/>
      <c r="M389" s="203"/>
      <c r="N389" s="203"/>
      <c r="O389" s="194"/>
      <c r="P389" s="194"/>
      <c r="Q389" s="194"/>
      <c r="R389" s="194"/>
    </row>
    <row r="390" ht="16.8" customHeight="1" spans="1:18" x14ac:dyDescent="0.25">
      <c r="A390" s="194"/>
      <c r="B390" s="194"/>
      <c r="C390" s="194"/>
      <c r="D390" s="194"/>
      <c r="E390" s="194"/>
      <c r="F390" s="194"/>
      <c r="G390" s="202"/>
      <c r="H390" s="203"/>
      <c r="I390" s="203"/>
      <c r="J390" s="203"/>
      <c r="K390" s="203"/>
      <c r="L390" s="204"/>
      <c r="M390" s="203"/>
      <c r="N390" s="203"/>
      <c r="O390" s="194"/>
      <c r="P390" s="194"/>
      <c r="Q390" s="194"/>
      <c r="R390" s="194"/>
    </row>
    <row r="391" ht="16.8" customHeight="1" spans="1:18" x14ac:dyDescent="0.25">
      <c r="A391" s="194"/>
      <c r="B391" s="194"/>
      <c r="C391" s="194"/>
      <c r="D391" s="194"/>
      <c r="E391" s="194"/>
      <c r="F391" s="194"/>
      <c r="G391" s="202"/>
      <c r="H391" s="203"/>
      <c r="I391" s="203"/>
      <c r="J391" s="203"/>
      <c r="K391" s="203"/>
      <c r="L391" s="204"/>
      <c r="M391" s="203"/>
      <c r="N391" s="203"/>
      <c r="O391" s="194"/>
      <c r="P391" s="194"/>
      <c r="Q391" s="194"/>
      <c r="R391" s="194"/>
    </row>
    <row r="392" ht="16.8" customHeight="1" spans="1:18" x14ac:dyDescent="0.25">
      <c r="A392" s="194"/>
      <c r="B392" s="194"/>
      <c r="C392" s="194"/>
      <c r="D392" s="194"/>
      <c r="E392" s="194"/>
      <c r="F392" s="194"/>
      <c r="G392" s="202"/>
      <c r="H392" s="203"/>
      <c r="I392" s="203"/>
      <c r="J392" s="203"/>
      <c r="K392" s="203"/>
      <c r="L392" s="204"/>
      <c r="M392" s="203"/>
      <c r="N392" s="203"/>
      <c r="O392" s="194"/>
      <c r="P392" s="194"/>
      <c r="Q392" s="194"/>
      <c r="R392" s="194"/>
    </row>
    <row r="393" ht="16.8" customHeight="1" spans="1:18" x14ac:dyDescent="0.25">
      <c r="A393" s="194"/>
      <c r="B393" s="194"/>
      <c r="C393" s="194"/>
      <c r="D393" s="194"/>
      <c r="E393" s="194"/>
      <c r="F393" s="194"/>
      <c r="G393" s="202"/>
      <c r="H393" s="203"/>
      <c r="I393" s="203"/>
      <c r="J393" s="203"/>
      <c r="K393" s="203"/>
      <c r="L393" s="204"/>
      <c r="M393" s="203"/>
      <c r="N393" s="203"/>
      <c r="O393" s="194"/>
      <c r="P393" s="194"/>
      <c r="Q393" s="194"/>
      <c r="R393" s="194"/>
    </row>
    <row r="394" ht="16.8" customHeight="1" spans="1:18" x14ac:dyDescent="0.25">
      <c r="A394" s="194"/>
      <c r="B394" s="194"/>
      <c r="C394" s="194"/>
      <c r="D394" s="194"/>
      <c r="E394" s="194"/>
      <c r="F394" s="194"/>
      <c r="G394" s="202"/>
      <c r="H394" s="203"/>
      <c r="I394" s="203"/>
      <c r="J394" s="203"/>
      <c r="K394" s="203"/>
      <c r="L394" s="204"/>
      <c r="M394" s="203"/>
      <c r="N394" s="203"/>
      <c r="O394" s="194"/>
      <c r="P394" s="194"/>
      <c r="Q394" s="194"/>
      <c r="R394" s="194"/>
    </row>
    <row r="395" ht="16.8" customHeight="1" spans="1:18" x14ac:dyDescent="0.25">
      <c r="A395" s="194"/>
      <c r="B395" s="194"/>
      <c r="C395" s="194"/>
      <c r="D395" s="194"/>
      <c r="E395" s="194"/>
      <c r="F395" s="194"/>
      <c r="G395" s="202"/>
      <c r="H395" s="203"/>
      <c r="I395" s="203"/>
      <c r="J395" s="203"/>
      <c r="K395" s="203"/>
      <c r="L395" s="204"/>
      <c r="M395" s="203"/>
      <c r="N395" s="203"/>
      <c r="O395" s="194"/>
      <c r="P395" s="194"/>
      <c r="Q395" s="194"/>
      <c r="R395" s="194"/>
    </row>
    <row r="396" ht="16.8" customHeight="1" spans="1:18" x14ac:dyDescent="0.25">
      <c r="A396" s="194"/>
      <c r="B396" s="194"/>
      <c r="C396" s="194"/>
      <c r="D396" s="194"/>
      <c r="E396" s="194"/>
      <c r="F396" s="194"/>
      <c r="G396" s="202"/>
      <c r="H396" s="203"/>
      <c r="I396" s="203"/>
      <c r="J396" s="203"/>
      <c r="K396" s="203"/>
      <c r="L396" s="204"/>
      <c r="M396" s="203"/>
      <c r="N396" s="203"/>
      <c r="O396" s="194"/>
      <c r="P396" s="194"/>
      <c r="Q396" s="194"/>
      <c r="R396" s="194"/>
    </row>
    <row r="397" ht="16.8" customHeight="1" spans="1:18" x14ac:dyDescent="0.25">
      <c r="A397" s="194"/>
      <c r="B397" s="194"/>
      <c r="C397" s="194"/>
      <c r="D397" s="194"/>
      <c r="E397" s="194"/>
      <c r="F397" s="194"/>
      <c r="G397" s="202"/>
      <c r="H397" s="203"/>
      <c r="I397" s="203"/>
      <c r="J397" s="203"/>
      <c r="K397" s="203"/>
      <c r="L397" s="204"/>
      <c r="M397" s="203"/>
      <c r="N397" s="203"/>
      <c r="O397" s="194"/>
      <c r="P397" s="194"/>
      <c r="Q397" s="194"/>
      <c r="R397" s="194"/>
    </row>
    <row r="398" ht="16.8" customHeight="1" spans="1:18" x14ac:dyDescent="0.25">
      <c r="A398" s="194"/>
      <c r="B398" s="194"/>
      <c r="C398" s="194"/>
      <c r="D398" s="194"/>
      <c r="E398" s="194"/>
      <c r="F398" s="194"/>
      <c r="G398" s="202"/>
      <c r="H398" s="203"/>
      <c r="I398" s="203"/>
      <c r="J398" s="203"/>
      <c r="K398" s="203"/>
      <c r="L398" s="204"/>
      <c r="M398" s="203"/>
      <c r="N398" s="203"/>
      <c r="O398" s="194"/>
      <c r="P398" s="194"/>
      <c r="Q398" s="194"/>
      <c r="R398" s="194"/>
    </row>
    <row r="399" ht="16.8" customHeight="1" spans="1:18" x14ac:dyDescent="0.25">
      <c r="A399" s="194"/>
      <c r="B399" s="194"/>
      <c r="C399" s="194"/>
      <c r="D399" s="194"/>
      <c r="E399" s="194"/>
      <c r="F399" s="194"/>
      <c r="G399" s="202"/>
      <c r="H399" s="203"/>
      <c r="I399" s="203"/>
      <c r="J399" s="203"/>
      <c r="K399" s="203"/>
      <c r="L399" s="204"/>
      <c r="M399" s="203"/>
      <c r="N399" s="203"/>
      <c r="O399" s="194"/>
      <c r="P399" s="194"/>
      <c r="Q399" s="194"/>
      <c r="R399" s="194"/>
    </row>
    <row r="400" ht="16.8" customHeight="1" spans="1:18" x14ac:dyDescent="0.25">
      <c r="A400" s="194"/>
      <c r="B400" s="194"/>
      <c r="C400" s="194"/>
      <c r="D400" s="194"/>
      <c r="E400" s="194"/>
      <c r="F400" s="194"/>
      <c r="G400" s="202"/>
      <c r="H400" s="203"/>
      <c r="I400" s="203"/>
      <c r="J400" s="203"/>
      <c r="K400" s="203"/>
      <c r="L400" s="204"/>
      <c r="M400" s="203"/>
      <c r="N400" s="203"/>
      <c r="O400" s="194"/>
      <c r="P400" s="194"/>
      <c r="Q400" s="194"/>
      <c r="R400" s="194"/>
    </row>
    <row r="401" ht="16.8" customHeight="1" spans="1:18" x14ac:dyDescent="0.25">
      <c r="A401" s="194"/>
      <c r="B401" s="194"/>
      <c r="C401" s="194"/>
      <c r="D401" s="194"/>
      <c r="E401" s="194"/>
      <c r="F401" s="194"/>
      <c r="G401" s="202"/>
      <c r="H401" s="203"/>
      <c r="I401" s="203"/>
      <c r="J401" s="203"/>
      <c r="K401" s="203"/>
      <c r="L401" s="204"/>
      <c r="M401" s="203"/>
      <c r="N401" s="203"/>
      <c r="O401" s="194"/>
      <c r="P401" s="194"/>
      <c r="Q401" s="194"/>
      <c r="R401" s="194"/>
    </row>
    <row r="402" ht="16.8" customHeight="1" spans="1:18" x14ac:dyDescent="0.25">
      <c r="A402" s="194"/>
      <c r="B402" s="194"/>
      <c r="C402" s="194"/>
      <c r="D402" s="194"/>
      <c r="E402" s="194"/>
      <c r="F402" s="194"/>
      <c r="G402" s="202"/>
      <c r="H402" s="203"/>
      <c r="I402" s="203"/>
      <c r="J402" s="203"/>
      <c r="K402" s="203"/>
      <c r="L402" s="204"/>
      <c r="M402" s="203"/>
      <c r="N402" s="203"/>
      <c r="O402" s="194"/>
      <c r="P402" s="194"/>
      <c r="Q402" s="194"/>
      <c r="R402" s="194"/>
    </row>
    <row r="403" ht="16.8" customHeight="1" spans="1:18" x14ac:dyDescent="0.25">
      <c r="A403" s="194"/>
      <c r="B403" s="194"/>
      <c r="C403" s="194"/>
      <c r="D403" s="194"/>
      <c r="E403" s="194"/>
      <c r="F403" s="194"/>
      <c r="G403" s="202"/>
      <c r="H403" s="203"/>
      <c r="I403" s="203"/>
      <c r="J403" s="203"/>
      <c r="K403" s="203"/>
      <c r="L403" s="204"/>
      <c r="M403" s="203"/>
      <c r="N403" s="203"/>
      <c r="O403" s="194"/>
      <c r="P403" s="194"/>
      <c r="Q403" s="194"/>
      <c r="R403" s="194"/>
    </row>
    <row r="404" ht="16.8" customHeight="1" spans="1:18" x14ac:dyDescent="0.25">
      <c r="A404" s="194"/>
      <c r="B404" s="194"/>
      <c r="C404" s="194"/>
      <c r="D404" s="194"/>
      <c r="E404" s="194"/>
      <c r="F404" s="194"/>
      <c r="G404" s="202"/>
      <c r="H404" s="203"/>
      <c r="I404" s="203"/>
      <c r="J404" s="203"/>
      <c r="K404" s="203"/>
      <c r="L404" s="204"/>
      <c r="M404" s="203"/>
      <c r="N404" s="203"/>
      <c r="O404" s="194"/>
      <c r="P404" s="194"/>
      <c r="Q404" s="194"/>
      <c r="R404" s="194"/>
    </row>
    <row r="405" ht="16.8" customHeight="1" spans="1:18" x14ac:dyDescent="0.25">
      <c r="A405" s="194"/>
      <c r="B405" s="194"/>
      <c r="C405" s="194"/>
      <c r="D405" s="194"/>
      <c r="E405" s="194"/>
      <c r="F405" s="194"/>
      <c r="G405" s="202"/>
      <c r="H405" s="203"/>
      <c r="I405" s="203"/>
      <c r="J405" s="203"/>
      <c r="K405" s="203"/>
      <c r="L405" s="204"/>
      <c r="M405" s="203"/>
      <c r="N405" s="203"/>
      <c r="O405" s="194"/>
      <c r="P405" s="194"/>
      <c r="Q405" s="194"/>
      <c r="R405" s="194"/>
    </row>
    <row r="406" ht="16.8" customHeight="1" spans="1:18" x14ac:dyDescent="0.25">
      <c r="A406" s="194"/>
      <c r="B406" s="194"/>
      <c r="C406" s="194"/>
      <c r="D406" s="194"/>
      <c r="E406" s="194"/>
      <c r="F406" s="194"/>
      <c r="G406" s="202"/>
      <c r="H406" s="203"/>
      <c r="I406" s="203"/>
      <c r="J406" s="203"/>
      <c r="K406" s="203"/>
      <c r="L406" s="204"/>
      <c r="M406" s="203"/>
      <c r="N406" s="203"/>
      <c r="O406" s="194"/>
      <c r="P406" s="194"/>
      <c r="Q406" s="194"/>
      <c r="R406" s="194"/>
    </row>
    <row r="407" ht="16.8" customHeight="1" spans="1:18" x14ac:dyDescent="0.25">
      <c r="A407" s="194"/>
      <c r="B407" s="194"/>
      <c r="C407" s="194"/>
      <c r="D407" s="194"/>
      <c r="E407" s="194"/>
      <c r="F407" s="194"/>
      <c r="G407" s="202"/>
      <c r="H407" s="203"/>
      <c r="I407" s="203"/>
      <c r="J407" s="203"/>
      <c r="K407" s="203"/>
      <c r="L407" s="204"/>
      <c r="M407" s="203"/>
      <c r="N407" s="203"/>
      <c r="O407" s="194"/>
      <c r="P407" s="194"/>
      <c r="Q407" s="194"/>
      <c r="R407" s="194"/>
    </row>
    <row r="408" ht="16.8" customHeight="1" spans="1:18" x14ac:dyDescent="0.25">
      <c r="A408" s="194"/>
      <c r="B408" s="194"/>
      <c r="C408" s="194"/>
      <c r="D408" s="194"/>
      <c r="E408" s="194"/>
      <c r="F408" s="194"/>
      <c r="G408" s="202"/>
      <c r="H408" s="203"/>
      <c r="I408" s="203"/>
      <c r="J408" s="203"/>
      <c r="K408" s="203"/>
      <c r="L408" s="204"/>
      <c r="M408" s="203"/>
      <c r="N408" s="203"/>
      <c r="O408" s="194"/>
      <c r="P408" s="194"/>
      <c r="Q408" s="194"/>
      <c r="R408" s="194"/>
    </row>
    <row r="409" ht="16.8" customHeight="1" spans="1:18" x14ac:dyDescent="0.25">
      <c r="A409" s="194"/>
      <c r="B409" s="194"/>
      <c r="C409" s="194"/>
      <c r="D409" s="194"/>
      <c r="E409" s="194"/>
      <c r="F409" s="194"/>
      <c r="G409" s="202"/>
      <c r="H409" s="203"/>
      <c r="I409" s="203"/>
      <c r="J409" s="203"/>
      <c r="K409" s="203"/>
      <c r="L409" s="204"/>
      <c r="M409" s="203"/>
      <c r="N409" s="203"/>
      <c r="O409" s="194"/>
      <c r="P409" s="194"/>
      <c r="Q409" s="194"/>
      <c r="R409" s="194"/>
    </row>
    <row r="410" ht="16.8" customHeight="1" spans="1:18" x14ac:dyDescent="0.25">
      <c r="A410" s="194"/>
      <c r="B410" s="194"/>
      <c r="C410" s="194"/>
      <c r="D410" s="194"/>
      <c r="E410" s="194"/>
      <c r="F410" s="194"/>
      <c r="G410" s="202"/>
      <c r="H410" s="203"/>
      <c r="I410" s="203"/>
      <c r="J410" s="203"/>
      <c r="K410" s="203"/>
      <c r="L410" s="204"/>
      <c r="M410" s="203"/>
      <c r="N410" s="203"/>
      <c r="O410" s="194"/>
      <c r="P410" s="194"/>
      <c r="Q410" s="194"/>
      <c r="R410" s="194"/>
    </row>
    <row r="411" ht="16.8" customHeight="1" spans="1:18" x14ac:dyDescent="0.25">
      <c r="A411" s="194"/>
      <c r="B411" s="194"/>
      <c r="C411" s="194"/>
      <c r="D411" s="194"/>
      <c r="E411" s="194"/>
      <c r="F411" s="194"/>
      <c r="G411" s="202"/>
      <c r="H411" s="203"/>
      <c r="I411" s="203"/>
      <c r="J411" s="203"/>
      <c r="K411" s="203"/>
      <c r="L411" s="204"/>
      <c r="M411" s="203"/>
      <c r="N411" s="203"/>
      <c r="O411" s="194"/>
      <c r="P411" s="194"/>
      <c r="Q411" s="194"/>
      <c r="R411" s="194"/>
    </row>
    <row r="412" ht="16.8" customHeight="1" spans="1:18" x14ac:dyDescent="0.25">
      <c r="A412" s="194"/>
      <c r="B412" s="194"/>
      <c r="C412" s="194"/>
      <c r="D412" s="194"/>
      <c r="E412" s="194"/>
      <c r="F412" s="194"/>
      <c r="G412" s="202"/>
      <c r="H412" s="203"/>
      <c r="I412" s="203"/>
      <c r="J412" s="203"/>
      <c r="K412" s="203"/>
      <c r="L412" s="204"/>
      <c r="M412" s="203"/>
      <c r="N412" s="203"/>
      <c r="O412" s="194"/>
      <c r="P412" s="194"/>
      <c r="Q412" s="194"/>
      <c r="R412" s="194"/>
    </row>
    <row r="413" ht="16.8" customHeight="1" spans="1:18" x14ac:dyDescent="0.25">
      <c r="A413" s="194"/>
      <c r="B413" s="194"/>
      <c r="C413" s="194"/>
      <c r="D413" s="194"/>
      <c r="E413" s="194"/>
      <c r="F413" s="194"/>
      <c r="G413" s="202"/>
      <c r="H413" s="203"/>
      <c r="I413" s="203"/>
      <c r="J413" s="203"/>
      <c r="K413" s="203"/>
      <c r="L413" s="204"/>
      <c r="M413" s="203"/>
      <c r="N413" s="203"/>
      <c r="O413" s="194"/>
      <c r="P413" s="194"/>
      <c r="Q413" s="194"/>
      <c r="R413" s="194"/>
    </row>
    <row r="414" ht="16.8" customHeight="1" spans="1:18" x14ac:dyDescent="0.25">
      <c r="A414" s="194"/>
      <c r="B414" s="194"/>
      <c r="C414" s="194"/>
      <c r="D414" s="194"/>
      <c r="E414" s="194"/>
      <c r="F414" s="194"/>
      <c r="G414" s="202"/>
      <c r="H414" s="203"/>
      <c r="I414" s="203"/>
      <c r="J414" s="203"/>
      <c r="K414" s="203"/>
      <c r="L414" s="204"/>
      <c r="M414" s="203"/>
      <c r="N414" s="203"/>
      <c r="O414" s="194"/>
      <c r="P414" s="194"/>
      <c r="Q414" s="194"/>
      <c r="R414" s="194"/>
    </row>
    <row r="415" ht="16.8" customHeight="1" spans="1:18" x14ac:dyDescent="0.25">
      <c r="A415" s="194"/>
      <c r="B415" s="194"/>
      <c r="C415" s="194"/>
      <c r="D415" s="194"/>
      <c r="E415" s="194"/>
      <c r="F415" s="194"/>
      <c r="G415" s="202"/>
      <c r="H415" s="203"/>
      <c r="I415" s="203"/>
      <c r="J415" s="203"/>
      <c r="K415" s="203"/>
      <c r="L415" s="204"/>
      <c r="M415" s="203"/>
      <c r="N415" s="203"/>
      <c r="O415" s="194"/>
      <c r="P415" s="194"/>
      <c r="Q415" s="194"/>
      <c r="R415" s="194"/>
    </row>
    <row r="416" ht="16.8" customHeight="1" spans="1:18" x14ac:dyDescent="0.25">
      <c r="A416" s="194"/>
      <c r="B416" s="194"/>
      <c r="C416" s="194"/>
      <c r="D416" s="194"/>
      <c r="E416" s="194"/>
      <c r="F416" s="194"/>
      <c r="G416" s="202"/>
      <c r="H416" s="203"/>
      <c r="I416" s="203"/>
      <c r="J416" s="203"/>
      <c r="K416" s="203"/>
      <c r="L416" s="204"/>
      <c r="M416" s="203"/>
      <c r="N416" s="203"/>
      <c r="O416" s="194"/>
      <c r="P416" s="194"/>
      <c r="Q416" s="194"/>
      <c r="R416" s="194"/>
    </row>
    <row r="417" ht="16.8" customHeight="1" spans="1:18" x14ac:dyDescent="0.25">
      <c r="A417" s="194"/>
      <c r="B417" s="194"/>
      <c r="C417" s="194"/>
      <c r="D417" s="194"/>
      <c r="E417" s="194"/>
      <c r="F417" s="194"/>
      <c r="G417" s="202"/>
      <c r="H417" s="203"/>
      <c r="I417" s="203"/>
      <c r="J417" s="203"/>
      <c r="K417" s="203"/>
      <c r="L417" s="204"/>
      <c r="M417" s="203"/>
      <c r="N417" s="203"/>
      <c r="O417" s="194"/>
      <c r="P417" s="194"/>
      <c r="Q417" s="194"/>
      <c r="R417" s="194"/>
    </row>
    <row r="418" ht="16.8" customHeight="1" spans="1:18" x14ac:dyDescent="0.25">
      <c r="A418" s="194"/>
      <c r="B418" s="194"/>
      <c r="C418" s="194"/>
      <c r="D418" s="194"/>
      <c r="E418" s="194"/>
      <c r="F418" s="194"/>
      <c r="G418" s="202"/>
      <c r="H418" s="203"/>
      <c r="I418" s="203"/>
      <c r="J418" s="203"/>
      <c r="K418" s="203"/>
      <c r="L418" s="204"/>
      <c r="M418" s="203"/>
      <c r="N418" s="203"/>
      <c r="O418" s="194"/>
      <c r="P418" s="194"/>
      <c r="Q418" s="194"/>
      <c r="R418" s="194"/>
    </row>
    <row r="419" ht="16.8" customHeight="1" spans="1:18" x14ac:dyDescent="0.25">
      <c r="A419" s="194"/>
      <c r="B419" s="194"/>
      <c r="C419" s="194"/>
      <c r="D419" s="194"/>
      <c r="E419" s="194"/>
      <c r="F419" s="194"/>
      <c r="G419" s="202"/>
      <c r="H419" s="203"/>
      <c r="I419" s="203"/>
      <c r="J419" s="203"/>
      <c r="K419" s="203"/>
      <c r="L419" s="204"/>
      <c r="M419" s="203"/>
      <c r="N419" s="203"/>
      <c r="O419" s="194"/>
      <c r="P419" s="194"/>
      <c r="Q419" s="194"/>
      <c r="R419" s="194"/>
    </row>
    <row r="420" ht="16.8" customHeight="1" spans="1:18" x14ac:dyDescent="0.25">
      <c r="A420" s="194"/>
      <c r="B420" s="194"/>
      <c r="C420" s="194"/>
      <c r="D420" s="194"/>
      <c r="E420" s="194"/>
      <c r="F420" s="194"/>
      <c r="G420" s="202"/>
      <c r="H420" s="203"/>
      <c r="I420" s="203"/>
      <c r="J420" s="203"/>
      <c r="K420" s="203"/>
      <c r="L420" s="204"/>
      <c r="M420" s="203"/>
      <c r="N420" s="203"/>
      <c r="O420" s="194"/>
      <c r="P420" s="194"/>
      <c r="Q420" s="194"/>
      <c r="R420" s="194"/>
    </row>
    <row r="421" ht="16.8" customHeight="1" spans="1:18" x14ac:dyDescent="0.25">
      <c r="A421" s="194"/>
      <c r="B421" s="194"/>
      <c r="C421" s="194"/>
      <c r="D421" s="194"/>
      <c r="E421" s="194"/>
      <c r="F421" s="194"/>
      <c r="G421" s="202"/>
      <c r="H421" s="203"/>
      <c r="I421" s="203"/>
      <c r="J421" s="203"/>
      <c r="K421" s="203"/>
      <c r="L421" s="204"/>
      <c r="M421" s="203"/>
      <c r="N421" s="203"/>
      <c r="O421" s="194"/>
      <c r="P421" s="194"/>
      <c r="Q421" s="194"/>
      <c r="R421" s="194"/>
    </row>
    <row r="422" ht="16.8" customHeight="1" spans="1:18" x14ac:dyDescent="0.25">
      <c r="A422" s="194"/>
      <c r="B422" s="194"/>
      <c r="C422" s="194"/>
      <c r="D422" s="194"/>
      <c r="E422" s="194"/>
      <c r="F422" s="194"/>
      <c r="G422" s="202"/>
      <c r="H422" s="203"/>
      <c r="I422" s="203"/>
      <c r="J422" s="203"/>
      <c r="K422" s="203"/>
      <c r="L422" s="204"/>
      <c r="M422" s="203"/>
      <c r="N422" s="203"/>
      <c r="O422" s="194"/>
      <c r="P422" s="194"/>
      <c r="Q422" s="194"/>
      <c r="R422" s="194"/>
    </row>
    <row r="423" ht="16.8" customHeight="1" spans="1:18" x14ac:dyDescent="0.25">
      <c r="A423" s="194"/>
      <c r="B423" s="194"/>
      <c r="C423" s="194"/>
      <c r="D423" s="194"/>
      <c r="E423" s="194"/>
      <c r="F423" s="194"/>
      <c r="G423" s="202"/>
      <c r="H423" s="203"/>
      <c r="I423" s="203"/>
      <c r="J423" s="203"/>
      <c r="K423" s="203"/>
      <c r="L423" s="204"/>
      <c r="M423" s="203"/>
      <c r="N423" s="203"/>
      <c r="O423" s="194"/>
      <c r="P423" s="194"/>
      <c r="Q423" s="194"/>
      <c r="R423" s="194"/>
    </row>
    <row r="424" ht="16.8" customHeight="1" spans="1:18" x14ac:dyDescent="0.25">
      <c r="A424" s="194"/>
      <c r="B424" s="194"/>
      <c r="C424" s="194"/>
      <c r="D424" s="194"/>
      <c r="E424" s="194"/>
      <c r="F424" s="194"/>
      <c r="G424" s="202"/>
      <c r="H424" s="203"/>
      <c r="I424" s="203"/>
      <c r="J424" s="203"/>
      <c r="K424" s="203"/>
      <c r="L424" s="204"/>
      <c r="M424" s="203"/>
      <c r="N424" s="203"/>
      <c r="O424" s="194"/>
      <c r="P424" s="194"/>
      <c r="Q424" s="194"/>
      <c r="R424" s="194"/>
    </row>
    <row r="425" ht="16.8" customHeight="1" spans="1:18" x14ac:dyDescent="0.25">
      <c r="A425" s="194"/>
      <c r="B425" s="194"/>
      <c r="C425" s="194"/>
      <c r="D425" s="194"/>
      <c r="E425" s="194"/>
      <c r="F425" s="194"/>
      <c r="G425" s="202"/>
      <c r="H425" s="203"/>
      <c r="I425" s="203"/>
      <c r="J425" s="203"/>
      <c r="K425" s="203"/>
      <c r="L425" s="204"/>
      <c r="M425" s="203"/>
      <c r="N425" s="203"/>
      <c r="O425" s="194"/>
      <c r="P425" s="194"/>
      <c r="Q425" s="194"/>
      <c r="R425" s="194"/>
    </row>
    <row r="426" ht="16.8" customHeight="1" spans="1:18" x14ac:dyDescent="0.25">
      <c r="A426" s="194"/>
      <c r="B426" s="194"/>
      <c r="C426" s="194"/>
      <c r="D426" s="194"/>
      <c r="E426" s="194"/>
      <c r="F426" s="194"/>
      <c r="G426" s="202"/>
      <c r="H426" s="203"/>
      <c r="I426" s="203"/>
      <c r="J426" s="203"/>
      <c r="K426" s="203"/>
      <c r="L426" s="204"/>
      <c r="M426" s="203"/>
      <c r="N426" s="203"/>
      <c r="O426" s="194"/>
      <c r="P426" s="194"/>
      <c r="Q426" s="194"/>
      <c r="R426" s="194"/>
    </row>
    <row r="427" ht="16.8" customHeight="1" spans="1:18" x14ac:dyDescent="0.25">
      <c r="A427" s="194"/>
      <c r="B427" s="194"/>
      <c r="C427" s="194"/>
      <c r="D427" s="194"/>
      <c r="E427" s="194"/>
      <c r="F427" s="194"/>
      <c r="G427" s="202"/>
      <c r="H427" s="203"/>
      <c r="I427" s="203"/>
      <c r="J427" s="203"/>
      <c r="K427" s="203"/>
      <c r="L427" s="204"/>
      <c r="M427" s="203"/>
      <c r="N427" s="203"/>
      <c r="O427" s="194"/>
      <c r="P427" s="194"/>
      <c r="Q427" s="194"/>
      <c r="R427" s="194"/>
    </row>
    <row r="428" ht="16.8" customHeight="1" spans="1:18" x14ac:dyDescent="0.25">
      <c r="A428" s="194"/>
      <c r="B428" s="194"/>
      <c r="C428" s="194"/>
      <c r="D428" s="194"/>
      <c r="E428" s="194"/>
      <c r="F428" s="194"/>
      <c r="G428" s="202"/>
      <c r="H428" s="203"/>
      <c r="I428" s="203"/>
      <c r="J428" s="203"/>
      <c r="K428" s="203"/>
      <c r="L428" s="204"/>
      <c r="M428" s="203"/>
      <c r="N428" s="203"/>
      <c r="O428" s="194"/>
      <c r="P428" s="194"/>
      <c r="Q428" s="194"/>
      <c r="R428" s="194"/>
    </row>
    <row r="429" ht="16.8" customHeight="1" spans="1:18" x14ac:dyDescent="0.25">
      <c r="A429" s="194"/>
      <c r="B429" s="194"/>
      <c r="C429" s="194"/>
      <c r="D429" s="194"/>
      <c r="E429" s="194"/>
      <c r="F429" s="194"/>
      <c r="G429" s="202"/>
      <c r="H429" s="203"/>
      <c r="I429" s="203"/>
      <c r="J429" s="203"/>
      <c r="K429" s="203"/>
      <c r="L429" s="204"/>
      <c r="M429" s="203"/>
      <c r="N429" s="203"/>
      <c r="O429" s="194"/>
      <c r="P429" s="194"/>
      <c r="Q429" s="194"/>
      <c r="R429" s="194"/>
    </row>
    <row r="430" ht="16.8" customHeight="1" spans="1:18" x14ac:dyDescent="0.25">
      <c r="A430" s="194"/>
      <c r="B430" s="194"/>
      <c r="C430" s="194"/>
      <c r="D430" s="194"/>
      <c r="E430" s="194"/>
      <c r="F430" s="194"/>
      <c r="G430" s="202"/>
      <c r="H430" s="203"/>
      <c r="I430" s="203"/>
      <c r="J430" s="203"/>
      <c r="K430" s="203"/>
      <c r="L430" s="204"/>
      <c r="M430" s="203"/>
      <c r="N430" s="203"/>
      <c r="O430" s="194"/>
      <c r="P430" s="194"/>
      <c r="Q430" s="194"/>
      <c r="R430" s="194"/>
    </row>
    <row r="431" ht="16.8" customHeight="1" spans="1:18" x14ac:dyDescent="0.25">
      <c r="A431" s="194"/>
      <c r="B431" s="194"/>
      <c r="C431" s="194"/>
      <c r="D431" s="194"/>
      <c r="E431" s="194"/>
      <c r="F431" s="194"/>
      <c r="G431" s="202"/>
      <c r="H431" s="203"/>
      <c r="I431" s="203"/>
      <c r="J431" s="203"/>
      <c r="K431" s="203"/>
      <c r="L431" s="204"/>
      <c r="M431" s="203"/>
      <c r="N431" s="203"/>
      <c r="O431" s="194"/>
      <c r="P431" s="194"/>
      <c r="Q431" s="194"/>
      <c r="R431" s="194"/>
    </row>
    <row r="432" ht="16.8" customHeight="1" spans="1:18" x14ac:dyDescent="0.25">
      <c r="A432" s="194"/>
      <c r="B432" s="194"/>
      <c r="C432" s="194"/>
      <c r="D432" s="194"/>
      <c r="E432" s="194"/>
      <c r="F432" s="194"/>
      <c r="G432" s="202"/>
      <c r="H432" s="203"/>
      <c r="I432" s="203"/>
      <c r="J432" s="203"/>
      <c r="K432" s="203"/>
      <c r="L432" s="204"/>
      <c r="M432" s="203"/>
      <c r="N432" s="203"/>
      <c r="O432" s="194"/>
      <c r="P432" s="194"/>
      <c r="Q432" s="194"/>
      <c r="R432" s="194"/>
    </row>
    <row r="433" ht="16.8" customHeight="1" spans="1:18" x14ac:dyDescent="0.25">
      <c r="A433" s="194"/>
      <c r="B433" s="194"/>
      <c r="C433" s="194"/>
      <c r="D433" s="194"/>
      <c r="E433" s="194"/>
      <c r="F433" s="194"/>
      <c r="G433" s="202"/>
      <c r="H433" s="203"/>
      <c r="I433" s="203"/>
      <c r="J433" s="203"/>
      <c r="K433" s="203"/>
      <c r="L433" s="204"/>
      <c r="M433" s="203"/>
      <c r="N433" s="203"/>
      <c r="O433" s="194"/>
      <c r="P433" s="194"/>
      <c r="Q433" s="194"/>
      <c r="R433" s="194"/>
    </row>
    <row r="434" ht="16.8" customHeight="1" spans="1:18" x14ac:dyDescent="0.25">
      <c r="A434" s="194"/>
      <c r="B434" s="194"/>
      <c r="C434" s="194"/>
      <c r="D434" s="194"/>
      <c r="E434" s="194"/>
      <c r="F434" s="194"/>
      <c r="G434" s="202"/>
      <c r="H434" s="203"/>
      <c r="I434" s="203"/>
      <c r="J434" s="203"/>
      <c r="K434" s="203"/>
      <c r="L434" s="204"/>
      <c r="M434" s="203"/>
      <c r="N434" s="203"/>
      <c r="O434" s="194"/>
      <c r="P434" s="194"/>
      <c r="Q434" s="194"/>
      <c r="R434" s="194"/>
    </row>
    <row r="435" ht="16.8" customHeight="1" spans="1:18" x14ac:dyDescent="0.25">
      <c r="A435" s="194"/>
      <c r="B435" s="194"/>
      <c r="C435" s="194"/>
      <c r="D435" s="194"/>
      <c r="E435" s="194"/>
      <c r="F435" s="194"/>
      <c r="G435" s="202"/>
      <c r="H435" s="203"/>
      <c r="I435" s="203"/>
      <c r="J435" s="203"/>
      <c r="K435" s="203"/>
      <c r="L435" s="204"/>
      <c r="M435" s="203"/>
      <c r="N435" s="203"/>
      <c r="O435" s="194"/>
      <c r="P435" s="194"/>
      <c r="Q435" s="194"/>
      <c r="R435" s="194"/>
    </row>
    <row r="436" ht="16.8" customHeight="1" spans="1:18" x14ac:dyDescent="0.25">
      <c r="A436" s="194"/>
      <c r="B436" s="194"/>
      <c r="C436" s="194"/>
      <c r="D436" s="194"/>
      <c r="E436" s="194"/>
      <c r="F436" s="194"/>
      <c r="G436" s="202"/>
      <c r="H436" s="203"/>
      <c r="I436" s="203"/>
      <c r="J436" s="203"/>
      <c r="K436" s="203"/>
      <c r="L436" s="204"/>
      <c r="M436" s="203"/>
      <c r="N436" s="203"/>
      <c r="O436" s="194"/>
      <c r="P436" s="194"/>
      <c r="Q436" s="194"/>
      <c r="R436" s="194"/>
    </row>
    <row r="437" ht="16.8" customHeight="1" spans="1:18" x14ac:dyDescent="0.25">
      <c r="A437" s="194"/>
      <c r="B437" s="194"/>
      <c r="C437" s="194"/>
      <c r="D437" s="194"/>
      <c r="E437" s="194"/>
      <c r="F437" s="194"/>
      <c r="G437" s="202"/>
      <c r="H437" s="203"/>
      <c r="I437" s="203"/>
      <c r="J437" s="203"/>
      <c r="K437" s="203"/>
      <c r="L437" s="204"/>
      <c r="M437" s="203"/>
      <c r="N437" s="203"/>
      <c r="O437" s="194"/>
      <c r="P437" s="194"/>
      <c r="Q437" s="194"/>
      <c r="R437" s="194"/>
    </row>
    <row r="438" ht="16.8" customHeight="1" spans="1:18" x14ac:dyDescent="0.25">
      <c r="A438" s="194"/>
      <c r="B438" s="194"/>
      <c r="C438" s="194"/>
      <c r="D438" s="194"/>
      <c r="E438" s="194"/>
      <c r="F438" s="194"/>
      <c r="G438" s="202"/>
      <c r="H438" s="203"/>
      <c r="I438" s="203"/>
      <c r="J438" s="203"/>
      <c r="K438" s="203"/>
      <c r="L438" s="204"/>
      <c r="M438" s="203"/>
      <c r="N438" s="203"/>
      <c r="O438" s="194"/>
      <c r="P438" s="194"/>
      <c r="Q438" s="194"/>
      <c r="R438" s="194"/>
    </row>
    <row r="439" ht="16.8" customHeight="1" spans="1:18" x14ac:dyDescent="0.25">
      <c r="A439" s="194"/>
      <c r="B439" s="194"/>
      <c r="C439" s="194"/>
      <c r="D439" s="194"/>
      <c r="E439" s="194"/>
      <c r="F439" s="194"/>
      <c r="G439" s="202"/>
      <c r="H439" s="203"/>
      <c r="I439" s="203"/>
      <c r="J439" s="203"/>
      <c r="K439" s="203"/>
      <c r="L439" s="204"/>
      <c r="M439" s="203"/>
      <c r="N439" s="203"/>
      <c r="O439" s="194"/>
      <c r="P439" s="194"/>
      <c r="Q439" s="194"/>
      <c r="R439" s="194"/>
    </row>
    <row r="440" ht="16.8" customHeight="1" spans="1:18" x14ac:dyDescent="0.25">
      <c r="A440" s="194"/>
      <c r="B440" s="194"/>
      <c r="C440" s="194"/>
      <c r="D440" s="194"/>
      <c r="E440" s="194"/>
      <c r="F440" s="194"/>
      <c r="G440" s="202"/>
      <c r="H440" s="203"/>
      <c r="I440" s="203"/>
      <c r="J440" s="203"/>
      <c r="K440" s="203"/>
      <c r="L440" s="204"/>
      <c r="M440" s="203"/>
      <c r="N440" s="203"/>
      <c r="O440" s="194"/>
      <c r="P440" s="194"/>
      <c r="Q440" s="194"/>
      <c r="R440" s="194"/>
    </row>
    <row r="441" ht="16.8" customHeight="1" spans="1:18" x14ac:dyDescent="0.25">
      <c r="A441" s="194"/>
      <c r="B441" s="194"/>
      <c r="C441" s="194"/>
      <c r="D441" s="194"/>
      <c r="E441" s="194"/>
      <c r="F441" s="194"/>
      <c r="G441" s="202"/>
      <c r="H441" s="203"/>
      <c r="I441" s="203"/>
      <c r="J441" s="203"/>
      <c r="K441" s="203"/>
      <c r="L441" s="204"/>
      <c r="M441" s="203"/>
      <c r="N441" s="203"/>
      <c r="O441" s="194"/>
      <c r="P441" s="194"/>
      <c r="Q441" s="194"/>
      <c r="R441" s="194"/>
    </row>
    <row r="442" ht="16.8" customHeight="1" spans="1:18" x14ac:dyDescent="0.25">
      <c r="A442" s="194"/>
      <c r="B442" s="194"/>
      <c r="C442" s="194"/>
      <c r="D442" s="194"/>
      <c r="E442" s="194"/>
      <c r="F442" s="194"/>
      <c r="G442" s="202"/>
      <c r="H442" s="203"/>
      <c r="I442" s="203"/>
      <c r="J442" s="203"/>
      <c r="K442" s="203"/>
      <c r="L442" s="204"/>
      <c r="M442" s="203"/>
      <c r="N442" s="203"/>
      <c r="O442" s="194"/>
      <c r="P442" s="194"/>
      <c r="Q442" s="194"/>
      <c r="R442" s="194"/>
    </row>
    <row r="443" ht="16.8" customHeight="1" spans="1:18" x14ac:dyDescent="0.25">
      <c r="A443" s="194"/>
      <c r="B443" s="194"/>
      <c r="C443" s="194"/>
      <c r="D443" s="194"/>
      <c r="E443" s="194"/>
      <c r="F443" s="194"/>
      <c r="G443" s="202"/>
      <c r="H443" s="203"/>
      <c r="I443" s="203"/>
      <c r="J443" s="203"/>
      <c r="K443" s="203"/>
      <c r="L443" s="204"/>
      <c r="M443" s="203"/>
      <c r="N443" s="203"/>
      <c r="O443" s="194"/>
      <c r="P443" s="194"/>
      <c r="Q443" s="194"/>
      <c r="R443" s="194"/>
    </row>
    <row r="444" ht="16.8" customHeight="1" spans="1:18" x14ac:dyDescent="0.25">
      <c r="A444" s="194"/>
      <c r="B444" s="194"/>
      <c r="C444" s="194"/>
      <c r="D444" s="194"/>
      <c r="E444" s="194"/>
      <c r="F444" s="194"/>
      <c r="G444" s="202"/>
      <c r="H444" s="203"/>
      <c r="I444" s="203"/>
      <c r="J444" s="203"/>
      <c r="K444" s="203"/>
      <c r="L444" s="204"/>
      <c r="M444" s="203"/>
      <c r="N444" s="203"/>
      <c r="O444" s="194"/>
      <c r="P444" s="194"/>
      <c r="Q444" s="194"/>
      <c r="R444" s="194"/>
    </row>
    <row r="445" ht="16.8" customHeight="1" spans="1:18" x14ac:dyDescent="0.25">
      <c r="A445" s="194"/>
      <c r="B445" s="194"/>
      <c r="C445" s="194"/>
      <c r="D445" s="194"/>
      <c r="E445" s="194"/>
      <c r="F445" s="194"/>
      <c r="G445" s="202"/>
      <c r="H445" s="203"/>
      <c r="I445" s="203"/>
      <c r="J445" s="203"/>
      <c r="K445" s="203"/>
      <c r="L445" s="204"/>
      <c r="M445" s="203"/>
      <c r="N445" s="203"/>
      <c r="O445" s="194"/>
      <c r="P445" s="194"/>
      <c r="Q445" s="194"/>
      <c r="R445" s="194"/>
    </row>
    <row r="446" ht="16.8" customHeight="1" spans="1:18" x14ac:dyDescent="0.25">
      <c r="A446" s="194"/>
      <c r="B446" s="194"/>
      <c r="C446" s="194"/>
      <c r="D446" s="194"/>
      <c r="E446" s="194"/>
      <c r="F446" s="194"/>
      <c r="G446" s="202"/>
      <c r="H446" s="203"/>
      <c r="I446" s="203"/>
      <c r="J446" s="203"/>
      <c r="K446" s="203"/>
      <c r="L446" s="204"/>
      <c r="M446" s="203"/>
      <c r="N446" s="203"/>
      <c r="O446" s="194"/>
      <c r="P446" s="194"/>
      <c r="Q446" s="194"/>
      <c r="R446" s="194"/>
    </row>
    <row r="447" ht="16.8" customHeight="1" spans="1:18" x14ac:dyDescent="0.25">
      <c r="A447" s="194"/>
      <c r="B447" s="194"/>
      <c r="C447" s="194"/>
      <c r="D447" s="194"/>
      <c r="E447" s="194"/>
      <c r="F447" s="194"/>
      <c r="G447" s="202"/>
      <c r="H447" s="203"/>
      <c r="I447" s="203"/>
      <c r="J447" s="203"/>
      <c r="K447" s="203"/>
      <c r="L447" s="204"/>
      <c r="M447" s="203"/>
      <c r="N447" s="203"/>
      <c r="O447" s="194"/>
      <c r="P447" s="194"/>
      <c r="Q447" s="194"/>
      <c r="R447" s="194"/>
    </row>
    <row r="448" ht="16.8" customHeight="1" spans="1:18" x14ac:dyDescent="0.25">
      <c r="A448" s="194"/>
      <c r="B448" s="194"/>
      <c r="C448" s="194"/>
      <c r="D448" s="194"/>
      <c r="E448" s="194"/>
      <c r="F448" s="194"/>
      <c r="G448" s="202"/>
      <c r="H448" s="203"/>
      <c r="I448" s="203"/>
      <c r="J448" s="203"/>
      <c r="K448" s="203"/>
      <c r="L448" s="204"/>
      <c r="M448" s="203"/>
      <c r="N448" s="203"/>
      <c r="O448" s="194"/>
      <c r="P448" s="194"/>
      <c r="Q448" s="194"/>
      <c r="R448" s="194"/>
    </row>
    <row r="449" ht="16.8" customHeight="1" spans="1:18" x14ac:dyDescent="0.25">
      <c r="A449" s="194"/>
      <c r="B449" s="194"/>
      <c r="C449" s="194"/>
      <c r="D449" s="194"/>
      <c r="E449" s="194"/>
      <c r="F449" s="194"/>
      <c r="G449" s="202"/>
      <c r="H449" s="203"/>
      <c r="I449" s="203"/>
      <c r="J449" s="203"/>
      <c r="K449" s="203"/>
      <c r="L449" s="204"/>
      <c r="M449" s="203"/>
      <c r="N449" s="203"/>
      <c r="O449" s="194"/>
      <c r="P449" s="194"/>
      <c r="Q449" s="194"/>
      <c r="R449" s="194"/>
    </row>
    <row r="450" ht="16.8" customHeight="1" spans="1:18" x14ac:dyDescent="0.25">
      <c r="A450" s="194"/>
      <c r="B450" s="194"/>
      <c r="C450" s="194"/>
      <c r="D450" s="194"/>
      <c r="E450" s="194"/>
      <c r="F450" s="194"/>
      <c r="G450" s="202"/>
      <c r="H450" s="203"/>
      <c r="I450" s="203"/>
      <c r="J450" s="203"/>
      <c r="K450" s="203"/>
      <c r="L450" s="204"/>
      <c r="M450" s="203"/>
      <c r="N450" s="203"/>
      <c r="O450" s="194"/>
      <c r="P450" s="194"/>
      <c r="Q450" s="194"/>
      <c r="R450" s="194"/>
    </row>
    <row r="451" ht="16.8" customHeight="1" spans="1:18" x14ac:dyDescent="0.25">
      <c r="A451" s="194"/>
      <c r="B451" s="194"/>
      <c r="C451" s="194"/>
      <c r="D451" s="194"/>
      <c r="E451" s="194"/>
      <c r="F451" s="194"/>
      <c r="G451" s="202"/>
      <c r="H451" s="203"/>
      <c r="I451" s="203"/>
      <c r="J451" s="203"/>
      <c r="K451" s="203"/>
      <c r="L451" s="204"/>
      <c r="M451" s="203"/>
      <c r="N451" s="203"/>
      <c r="O451" s="194"/>
      <c r="P451" s="194"/>
      <c r="Q451" s="194"/>
      <c r="R451" s="194"/>
    </row>
    <row r="452" ht="16.8" customHeight="1" spans="1:18" x14ac:dyDescent="0.25">
      <c r="A452" s="194"/>
      <c r="B452" s="194"/>
      <c r="C452" s="194"/>
      <c r="D452" s="194"/>
      <c r="E452" s="194"/>
      <c r="F452" s="194"/>
      <c r="G452" s="202"/>
      <c r="H452" s="203"/>
      <c r="I452" s="203"/>
      <c r="J452" s="203"/>
      <c r="K452" s="203"/>
      <c r="L452" s="204"/>
      <c r="M452" s="203"/>
      <c r="N452" s="203"/>
      <c r="O452" s="194"/>
      <c r="P452" s="194"/>
      <c r="Q452" s="194"/>
      <c r="R452" s="194"/>
    </row>
    <row r="453" ht="16.8" customHeight="1" spans="1:18" x14ac:dyDescent="0.25">
      <c r="A453" s="194"/>
      <c r="B453" s="194"/>
      <c r="C453" s="194"/>
      <c r="D453" s="194"/>
      <c r="E453" s="194"/>
      <c r="F453" s="194"/>
      <c r="G453" s="202"/>
      <c r="H453" s="203"/>
      <c r="I453" s="203"/>
      <c r="J453" s="203"/>
      <c r="K453" s="203"/>
      <c r="L453" s="204"/>
      <c r="M453" s="203"/>
      <c r="N453" s="203"/>
      <c r="O453" s="194"/>
      <c r="P453" s="194"/>
      <c r="Q453" s="194"/>
      <c r="R453" s="194"/>
    </row>
    <row r="454" ht="16.8" customHeight="1" spans="1:18" x14ac:dyDescent="0.25">
      <c r="A454" s="194"/>
      <c r="B454" s="194"/>
      <c r="C454" s="194"/>
      <c r="D454" s="194"/>
      <c r="E454" s="194"/>
      <c r="F454" s="194"/>
      <c r="G454" s="202"/>
      <c r="H454" s="203"/>
      <c r="I454" s="203"/>
      <c r="J454" s="203"/>
      <c r="K454" s="203"/>
      <c r="L454" s="204"/>
      <c r="M454" s="203"/>
      <c r="N454" s="203"/>
      <c r="O454" s="194"/>
      <c r="P454" s="194"/>
      <c r="Q454" s="194"/>
      <c r="R454" s="194"/>
    </row>
    <row r="455" ht="16.8" customHeight="1" spans="1:18" x14ac:dyDescent="0.25">
      <c r="A455" s="194"/>
      <c r="B455" s="194"/>
      <c r="C455" s="194"/>
      <c r="D455" s="194"/>
      <c r="E455" s="194"/>
      <c r="F455" s="194"/>
      <c r="G455" s="202"/>
      <c r="H455" s="203"/>
      <c r="I455" s="203"/>
      <c r="J455" s="203"/>
      <c r="K455" s="203"/>
      <c r="L455" s="204"/>
      <c r="M455" s="203"/>
      <c r="N455" s="203"/>
      <c r="O455" s="194"/>
      <c r="P455" s="194"/>
      <c r="Q455" s="194"/>
      <c r="R455" s="194"/>
    </row>
    <row r="456" ht="16.8" customHeight="1" spans="1:18" x14ac:dyDescent="0.25">
      <c r="A456" s="194"/>
      <c r="B456" s="194"/>
      <c r="C456" s="194"/>
      <c r="D456" s="194"/>
      <c r="E456" s="194"/>
      <c r="F456" s="194"/>
      <c r="G456" s="202"/>
      <c r="H456" s="203"/>
      <c r="I456" s="203"/>
      <c r="J456" s="203"/>
      <c r="K456" s="203"/>
      <c r="L456" s="204"/>
      <c r="M456" s="203"/>
      <c r="N456" s="203"/>
      <c r="O456" s="194"/>
      <c r="P456" s="194"/>
      <c r="Q456" s="194"/>
      <c r="R456" s="194"/>
    </row>
    <row r="457" ht="16.8" customHeight="1" spans="1:18" x14ac:dyDescent="0.25">
      <c r="A457" s="194"/>
      <c r="B457" s="194"/>
      <c r="C457" s="194"/>
      <c r="D457" s="194"/>
      <c r="E457" s="194"/>
      <c r="F457" s="194"/>
      <c r="G457" s="202"/>
      <c r="H457" s="203"/>
      <c r="I457" s="203"/>
      <c r="J457" s="203"/>
      <c r="K457" s="203"/>
      <c r="L457" s="204"/>
      <c r="M457" s="203"/>
      <c r="N457" s="203"/>
      <c r="O457" s="194"/>
      <c r="P457" s="194"/>
      <c r="Q457" s="194"/>
      <c r="R457" s="194"/>
    </row>
    <row r="458" ht="16.8" customHeight="1" spans="1:18" x14ac:dyDescent="0.25">
      <c r="A458" s="194"/>
      <c r="B458" s="194"/>
      <c r="C458" s="194"/>
      <c r="D458" s="194"/>
      <c r="E458" s="194"/>
      <c r="F458" s="194"/>
      <c r="G458" s="202"/>
      <c r="H458" s="203"/>
      <c r="I458" s="203"/>
      <c r="J458" s="203"/>
      <c r="K458" s="203"/>
      <c r="L458" s="204"/>
      <c r="M458" s="203"/>
      <c r="N458" s="203"/>
      <c r="O458" s="194"/>
      <c r="P458" s="194"/>
      <c r="Q458" s="194"/>
      <c r="R458" s="194"/>
    </row>
    <row r="459" ht="16.8" customHeight="1" spans="1:18" x14ac:dyDescent="0.25">
      <c r="A459" s="194"/>
      <c r="B459" s="194"/>
      <c r="C459" s="194"/>
      <c r="D459" s="194"/>
      <c r="E459" s="194"/>
      <c r="F459" s="194"/>
      <c r="G459" s="202"/>
      <c r="H459" s="203"/>
      <c r="I459" s="203"/>
      <c r="J459" s="203"/>
      <c r="K459" s="203"/>
      <c r="L459" s="204"/>
      <c r="M459" s="203"/>
      <c r="N459" s="203"/>
      <c r="O459" s="194"/>
      <c r="P459" s="194"/>
      <c r="Q459" s="194"/>
      <c r="R459" s="194"/>
    </row>
    <row r="460" ht="16.8" customHeight="1" spans="1:18" x14ac:dyDescent="0.25">
      <c r="A460" s="194"/>
      <c r="B460" s="194"/>
      <c r="C460" s="194"/>
      <c r="D460" s="194"/>
      <c r="E460" s="194"/>
      <c r="F460" s="194"/>
      <c r="G460" s="202"/>
      <c r="H460" s="203"/>
      <c r="I460" s="203"/>
      <c r="J460" s="203"/>
      <c r="K460" s="203"/>
      <c r="L460" s="204"/>
      <c r="M460" s="203"/>
      <c r="N460" s="203"/>
      <c r="O460" s="194"/>
      <c r="P460" s="194"/>
      <c r="Q460" s="194"/>
      <c r="R460" s="194"/>
    </row>
    <row r="461" ht="16.8" customHeight="1" spans="1:18" x14ac:dyDescent="0.25">
      <c r="A461" s="194"/>
      <c r="B461" s="194"/>
      <c r="C461" s="194"/>
      <c r="D461" s="194"/>
      <c r="E461" s="194"/>
      <c r="F461" s="194"/>
      <c r="G461" s="202"/>
      <c r="H461" s="203"/>
      <c r="I461" s="203"/>
      <c r="J461" s="203"/>
      <c r="K461" s="203"/>
      <c r="L461" s="204"/>
      <c r="M461" s="203"/>
      <c r="N461" s="203"/>
      <c r="O461" s="194"/>
      <c r="P461" s="194"/>
      <c r="Q461" s="194"/>
      <c r="R461" s="194"/>
    </row>
    <row r="462" ht="16.8" customHeight="1" spans="1:18" x14ac:dyDescent="0.25">
      <c r="A462" s="194"/>
      <c r="B462" s="194"/>
      <c r="C462" s="194"/>
      <c r="D462" s="194"/>
      <c r="E462" s="194"/>
      <c r="F462" s="194"/>
      <c r="G462" s="202"/>
      <c r="H462" s="203"/>
      <c r="I462" s="203"/>
      <c r="J462" s="203"/>
      <c r="K462" s="203"/>
      <c r="L462" s="204"/>
      <c r="M462" s="203"/>
      <c r="N462" s="203"/>
      <c r="O462" s="194"/>
      <c r="P462" s="194"/>
      <c r="Q462" s="194"/>
      <c r="R462" s="194"/>
    </row>
    <row r="463" ht="16.8" customHeight="1" spans="1:18" x14ac:dyDescent="0.25">
      <c r="A463" s="194"/>
      <c r="B463" s="194"/>
      <c r="C463" s="194"/>
      <c r="D463" s="194"/>
      <c r="E463" s="194"/>
      <c r="F463" s="194"/>
      <c r="G463" s="202"/>
      <c r="H463" s="203"/>
      <c r="I463" s="203"/>
      <c r="J463" s="203"/>
      <c r="K463" s="203"/>
      <c r="L463" s="204"/>
      <c r="M463" s="203"/>
      <c r="N463" s="203"/>
      <c r="O463" s="194"/>
      <c r="P463" s="194"/>
      <c r="Q463" s="194"/>
      <c r="R463" s="194"/>
    </row>
    <row r="464" ht="16.8" customHeight="1" spans="1:18" x14ac:dyDescent="0.25">
      <c r="A464" s="194"/>
      <c r="B464" s="194"/>
      <c r="C464" s="194"/>
      <c r="D464" s="194"/>
      <c r="E464" s="194"/>
      <c r="F464" s="194"/>
      <c r="G464" s="202"/>
      <c r="H464" s="203"/>
      <c r="I464" s="203"/>
      <c r="J464" s="203"/>
      <c r="K464" s="203"/>
      <c r="L464" s="204"/>
      <c r="M464" s="203"/>
      <c r="N464" s="203"/>
      <c r="O464" s="194"/>
      <c r="P464" s="194"/>
      <c r="Q464" s="194"/>
      <c r="R464" s="194"/>
    </row>
    <row r="465" ht="16.8" customHeight="1" spans="1:18" x14ac:dyDescent="0.25">
      <c r="A465" s="194"/>
      <c r="B465" s="194"/>
      <c r="C465" s="194"/>
      <c r="D465" s="194"/>
      <c r="E465" s="194"/>
      <c r="F465" s="194"/>
      <c r="G465" s="202"/>
      <c r="H465" s="203"/>
      <c r="I465" s="203"/>
      <c r="J465" s="203"/>
      <c r="K465" s="203"/>
      <c r="L465" s="204"/>
      <c r="M465" s="203"/>
      <c r="N465" s="203"/>
      <c r="O465" s="194"/>
      <c r="P465" s="194"/>
      <c r="Q465" s="194"/>
      <c r="R465" s="194"/>
    </row>
    <row r="466" ht="16.8" customHeight="1" spans="1:18" x14ac:dyDescent="0.25">
      <c r="A466" s="194"/>
      <c r="B466" s="194"/>
      <c r="C466" s="194"/>
      <c r="D466" s="194"/>
      <c r="E466" s="194"/>
      <c r="F466" s="194"/>
      <c r="G466" s="202"/>
      <c r="H466" s="203"/>
      <c r="I466" s="203"/>
      <c r="J466" s="203"/>
      <c r="K466" s="203"/>
      <c r="L466" s="204"/>
      <c r="M466" s="203"/>
      <c r="N466" s="203"/>
      <c r="O466" s="194"/>
      <c r="P466" s="194"/>
      <c r="Q466" s="194"/>
      <c r="R466" s="194"/>
    </row>
    <row r="467" ht="16.8" customHeight="1" spans="1:18" x14ac:dyDescent="0.25">
      <c r="A467" s="194"/>
      <c r="B467" s="194"/>
      <c r="C467" s="194"/>
      <c r="D467" s="194"/>
      <c r="E467" s="194"/>
      <c r="F467" s="194"/>
      <c r="G467" s="202"/>
      <c r="H467" s="203"/>
      <c r="I467" s="203"/>
      <c r="J467" s="203"/>
      <c r="K467" s="203"/>
      <c r="L467" s="204"/>
      <c r="M467" s="203"/>
      <c r="N467" s="203"/>
      <c r="O467" s="194"/>
      <c r="P467" s="194"/>
      <c r="Q467" s="194"/>
      <c r="R467" s="194"/>
    </row>
    <row r="468" ht="16.8" customHeight="1" spans="1:18" x14ac:dyDescent="0.25">
      <c r="A468" s="194"/>
      <c r="B468" s="194"/>
      <c r="C468" s="194"/>
      <c r="D468" s="194"/>
      <c r="E468" s="194"/>
      <c r="F468" s="194"/>
      <c r="G468" s="202"/>
      <c r="H468" s="203"/>
      <c r="I468" s="203"/>
      <c r="J468" s="203"/>
      <c r="K468" s="203"/>
      <c r="L468" s="204"/>
      <c r="M468" s="203"/>
      <c r="N468" s="203"/>
      <c r="O468" s="194"/>
      <c r="P468" s="194"/>
      <c r="Q468" s="194"/>
      <c r="R468" s="194"/>
    </row>
    <row r="469" ht="16.8" customHeight="1" spans="1:18" x14ac:dyDescent="0.25">
      <c r="A469" s="194"/>
      <c r="B469" s="194"/>
      <c r="C469" s="194"/>
      <c r="D469" s="194"/>
      <c r="E469" s="194"/>
      <c r="F469" s="194"/>
      <c r="G469" s="202"/>
      <c r="H469" s="194"/>
      <c r="I469" s="194"/>
      <c r="J469" s="194"/>
      <c r="K469" s="194"/>
      <c r="L469" s="205"/>
      <c r="M469" s="194"/>
      <c r="N469" s="194"/>
      <c r="O469" s="194"/>
      <c r="P469" s="194"/>
      <c r="Q469" s="194"/>
      <c r="R469" s="194"/>
    </row>
    <row r="470" ht="16.8" customHeight="1" spans="1:18" x14ac:dyDescent="0.25">
      <c r="A470" s="194"/>
      <c r="B470" s="194"/>
      <c r="C470" s="194"/>
      <c r="D470" s="194"/>
      <c r="E470" s="194"/>
      <c r="F470" s="194"/>
      <c r="G470" s="202"/>
      <c r="H470" s="194"/>
      <c r="I470" s="194"/>
      <c r="J470" s="194"/>
      <c r="K470" s="194"/>
      <c r="L470" s="205"/>
      <c r="M470" s="194"/>
      <c r="N470" s="194"/>
      <c r="O470" s="194"/>
      <c r="P470" s="194"/>
      <c r="Q470" s="194"/>
      <c r="R470" s="194"/>
    </row>
    <row r="471" ht="16.8" customHeight="1" spans="1:18" x14ac:dyDescent="0.25">
      <c r="A471" s="194"/>
      <c r="B471" s="194"/>
      <c r="C471" s="194"/>
      <c r="D471" s="194"/>
      <c r="E471" s="194"/>
      <c r="F471" s="194"/>
      <c r="G471" s="202"/>
      <c r="H471" s="194"/>
      <c r="I471" s="194"/>
      <c r="J471" s="194"/>
      <c r="K471" s="194"/>
      <c r="L471" s="205"/>
      <c r="M471" s="194"/>
      <c r="N471" s="194"/>
      <c r="O471" s="194"/>
      <c r="P471" s="194"/>
      <c r="Q471" s="194"/>
      <c r="R471" s="194"/>
    </row>
    <row r="472" ht="16.8" customHeight="1" spans="1:18" x14ac:dyDescent="0.25">
      <c r="A472" s="194"/>
      <c r="B472" s="194"/>
      <c r="C472" s="194"/>
      <c r="D472" s="194"/>
      <c r="E472" s="194"/>
      <c r="F472" s="194"/>
      <c r="G472" s="202"/>
      <c r="H472" s="194"/>
      <c r="I472" s="194"/>
      <c r="J472" s="194"/>
      <c r="K472" s="194"/>
      <c r="L472" s="205"/>
      <c r="M472" s="194"/>
      <c r="N472" s="194"/>
      <c r="O472" s="194"/>
      <c r="P472" s="194"/>
      <c r="Q472" s="194"/>
      <c r="R472" s="194"/>
    </row>
    <row r="473" ht="16.8" customHeight="1" spans="1:18" x14ac:dyDescent="0.25">
      <c r="A473" s="194"/>
      <c r="B473" s="194"/>
      <c r="C473" s="194"/>
      <c r="D473" s="194"/>
      <c r="E473" s="194"/>
      <c r="F473" s="194"/>
      <c r="G473" s="202"/>
      <c r="H473" s="194"/>
      <c r="I473" s="194"/>
      <c r="J473" s="194"/>
      <c r="K473" s="194"/>
      <c r="L473" s="205"/>
      <c r="M473" s="194"/>
      <c r="N473" s="194"/>
      <c r="O473" s="194"/>
      <c r="P473" s="194"/>
      <c r="Q473" s="194"/>
      <c r="R473" s="194"/>
    </row>
    <row r="474" ht="16.8" customHeight="1" spans="1:18" x14ac:dyDescent="0.25">
      <c r="A474" s="194"/>
      <c r="B474" s="194"/>
      <c r="C474" s="194"/>
      <c r="D474" s="194"/>
      <c r="E474" s="194"/>
      <c r="F474" s="194"/>
      <c r="G474" s="202"/>
      <c r="H474" s="194"/>
      <c r="I474" s="194"/>
      <c r="J474" s="194"/>
      <c r="K474" s="194"/>
      <c r="L474" s="205"/>
      <c r="M474" s="194"/>
      <c r="N474" s="194"/>
      <c r="O474" s="194"/>
      <c r="P474" s="194"/>
      <c r="Q474" s="194"/>
      <c r="R474" s="194"/>
    </row>
    <row r="475" ht="16.8" customHeight="1" spans="1:18" x14ac:dyDescent="0.25">
      <c r="A475" s="194"/>
      <c r="B475" s="194"/>
      <c r="C475" s="194"/>
      <c r="D475" s="194"/>
      <c r="E475" s="194"/>
      <c r="F475" s="194"/>
      <c r="G475" s="202"/>
      <c r="H475" s="194"/>
      <c r="I475" s="194"/>
      <c r="J475" s="194"/>
      <c r="K475" s="194"/>
      <c r="L475" s="205"/>
      <c r="M475" s="194"/>
      <c r="N475" s="194"/>
      <c r="O475" s="194"/>
      <c r="P475" s="194"/>
      <c r="Q475" s="194"/>
      <c r="R475" s="194"/>
    </row>
    <row r="476" ht="16.8" customHeight="1" spans="1:18" x14ac:dyDescent="0.25">
      <c r="A476" s="194"/>
      <c r="B476" s="194"/>
      <c r="C476" s="194"/>
      <c r="D476" s="194"/>
      <c r="E476" s="194"/>
      <c r="F476" s="194"/>
      <c r="G476" s="202"/>
      <c r="H476" s="194"/>
      <c r="I476" s="194"/>
      <c r="J476" s="194"/>
      <c r="K476" s="194"/>
      <c r="L476" s="205"/>
      <c r="M476" s="194"/>
      <c r="N476" s="194"/>
      <c r="O476" s="194"/>
      <c r="P476" s="194"/>
      <c r="Q476" s="194"/>
      <c r="R476" s="194"/>
    </row>
    <row r="477" ht="16.8" customHeight="1" spans="1:18" x14ac:dyDescent="0.25">
      <c r="A477" s="194"/>
      <c r="B477" s="194"/>
      <c r="C477" s="194"/>
      <c r="D477" s="194"/>
      <c r="E477" s="194"/>
      <c r="F477" s="194"/>
      <c r="G477" s="202"/>
      <c r="H477" s="194"/>
      <c r="I477" s="194"/>
      <c r="J477" s="194"/>
      <c r="K477" s="194"/>
      <c r="L477" s="205"/>
      <c r="M477" s="194"/>
      <c r="N477" s="194"/>
      <c r="O477" s="194"/>
      <c r="P477" s="194"/>
      <c r="Q477" s="194"/>
      <c r="R477" s="194"/>
    </row>
    <row r="478" ht="16.8" customHeight="1" spans="1:18" x14ac:dyDescent="0.25">
      <c r="A478" s="194"/>
      <c r="B478" s="194"/>
      <c r="C478" s="194"/>
      <c r="D478" s="194"/>
      <c r="E478" s="194"/>
      <c r="F478" s="194"/>
      <c r="G478" s="202"/>
      <c r="H478" s="194"/>
      <c r="I478" s="194"/>
      <c r="J478" s="194"/>
      <c r="K478" s="194"/>
      <c r="L478" s="205"/>
      <c r="M478" s="194"/>
      <c r="N478" s="194"/>
      <c r="O478" s="194"/>
      <c r="P478" s="194"/>
      <c r="Q478" s="194"/>
      <c r="R478" s="194"/>
    </row>
    <row r="479" ht="16.8" customHeight="1" spans="1:18" x14ac:dyDescent="0.25">
      <c r="A479" s="194"/>
      <c r="B479" s="194"/>
      <c r="C479" s="194"/>
      <c r="D479" s="194"/>
      <c r="E479" s="194"/>
      <c r="F479" s="194"/>
      <c r="G479" s="202"/>
      <c r="H479" s="194"/>
      <c r="I479" s="194"/>
      <c r="J479" s="194"/>
      <c r="K479" s="194"/>
      <c r="L479" s="205"/>
      <c r="M479" s="194"/>
      <c r="N479" s="194"/>
      <c r="O479" s="194"/>
      <c r="P479" s="194"/>
      <c r="Q479" s="194"/>
      <c r="R479" s="194"/>
    </row>
    <row r="480" ht="16.8" customHeight="1" spans="1:18" x14ac:dyDescent="0.25">
      <c r="A480" s="194"/>
      <c r="B480" s="194"/>
      <c r="C480" s="194"/>
      <c r="D480" s="194"/>
      <c r="E480" s="194"/>
      <c r="F480" s="194"/>
      <c r="G480" s="202"/>
      <c r="H480" s="194"/>
      <c r="I480" s="194"/>
      <c r="J480" s="194"/>
      <c r="K480" s="194"/>
      <c r="L480" s="205"/>
      <c r="M480" s="194"/>
      <c r="N480" s="194"/>
      <c r="O480" s="194"/>
      <c r="P480" s="194"/>
      <c r="Q480" s="194"/>
      <c r="R480" s="194"/>
    </row>
    <row r="481" ht="16.8" customHeight="1" spans="1:18" x14ac:dyDescent="0.25">
      <c r="A481" s="194"/>
      <c r="B481" s="194"/>
      <c r="C481" s="194"/>
      <c r="D481" s="194"/>
      <c r="E481" s="194"/>
      <c r="F481" s="194"/>
      <c r="G481" s="202"/>
      <c r="H481" s="194"/>
      <c r="I481" s="194"/>
      <c r="J481" s="194"/>
      <c r="K481" s="194"/>
      <c r="L481" s="205"/>
      <c r="M481" s="194"/>
      <c r="N481" s="194"/>
      <c r="O481" s="194"/>
      <c r="P481" s="194"/>
      <c r="Q481" s="194"/>
      <c r="R481" s="194"/>
    </row>
    <row r="482" ht="16.8" customHeight="1" spans="1:18" x14ac:dyDescent="0.25">
      <c r="A482" s="194"/>
      <c r="B482" s="194"/>
      <c r="C482" s="194"/>
      <c r="D482" s="194"/>
      <c r="E482" s="194"/>
      <c r="F482" s="194"/>
      <c r="G482" s="202"/>
      <c r="H482" s="194"/>
      <c r="I482" s="194"/>
      <c r="J482" s="194"/>
      <c r="K482" s="194"/>
      <c r="L482" s="205"/>
      <c r="M482" s="194"/>
      <c r="N482" s="194"/>
      <c r="O482" s="194"/>
      <c r="P482" s="194"/>
      <c r="Q482" s="194"/>
      <c r="R482" s="194"/>
    </row>
    <row r="483" ht="16.8" customHeight="1" spans="1:18" x14ac:dyDescent="0.25">
      <c r="A483" s="194"/>
      <c r="B483" s="194"/>
      <c r="C483" s="194"/>
      <c r="D483" s="194"/>
      <c r="E483" s="194"/>
      <c r="F483" s="194"/>
      <c r="G483" s="202"/>
      <c r="H483" s="194"/>
      <c r="I483" s="194"/>
      <c r="J483" s="194"/>
      <c r="K483" s="194"/>
      <c r="L483" s="205"/>
      <c r="M483" s="194"/>
      <c r="N483" s="194"/>
      <c r="O483" s="194"/>
      <c r="P483" s="194"/>
      <c r="Q483" s="194"/>
      <c r="R483" s="194"/>
    </row>
    <row r="484" ht="16.8" customHeight="1" spans="1:18" x14ac:dyDescent="0.25">
      <c r="A484" s="194"/>
      <c r="B484" s="194"/>
      <c r="C484" s="194"/>
      <c r="D484" s="194"/>
      <c r="E484" s="194"/>
      <c r="F484" s="194"/>
      <c r="G484" s="202"/>
      <c r="H484" s="194"/>
      <c r="I484" s="194"/>
      <c r="J484" s="194"/>
      <c r="K484" s="194"/>
      <c r="L484" s="205"/>
      <c r="M484" s="194"/>
      <c r="N484" s="194"/>
      <c r="O484" s="194"/>
      <c r="P484" s="194"/>
      <c r="Q484" s="194"/>
      <c r="R484" s="194"/>
    </row>
    <row r="485" ht="16.8" customHeight="1" spans="1:18" x14ac:dyDescent="0.25">
      <c r="A485" s="194"/>
      <c r="B485" s="194"/>
      <c r="C485" s="194"/>
      <c r="D485" s="194"/>
      <c r="E485" s="194"/>
      <c r="F485" s="194"/>
      <c r="G485" s="202"/>
      <c r="H485" s="194"/>
      <c r="I485" s="194"/>
      <c r="J485" s="194"/>
      <c r="K485" s="194"/>
      <c r="L485" s="205"/>
      <c r="M485" s="194"/>
      <c r="N485" s="194"/>
      <c r="O485" s="194"/>
      <c r="P485" s="194"/>
      <c r="Q485" s="194"/>
      <c r="R485" s="194"/>
    </row>
    <row r="486" ht="16.8" customHeight="1" spans="1:18" x14ac:dyDescent="0.25">
      <c r="A486" s="194"/>
      <c r="B486" s="194"/>
      <c r="C486" s="194"/>
      <c r="D486" s="194"/>
      <c r="E486" s="194"/>
      <c r="F486" s="194"/>
      <c r="G486" s="202"/>
      <c r="H486" s="194"/>
      <c r="I486" s="194"/>
      <c r="J486" s="194"/>
      <c r="K486" s="194"/>
      <c r="L486" s="205"/>
      <c r="M486" s="194"/>
      <c r="N486" s="194"/>
      <c r="O486" s="194"/>
      <c r="P486" s="194"/>
      <c r="Q486" s="194"/>
      <c r="R486" s="194"/>
    </row>
    <row r="487" ht="16.8" customHeight="1" spans="1:18" x14ac:dyDescent="0.25">
      <c r="A487" s="194"/>
      <c r="B487" s="194"/>
      <c r="C487" s="194"/>
      <c r="D487" s="194"/>
      <c r="E487" s="194"/>
      <c r="F487" s="194"/>
      <c r="G487" s="202"/>
      <c r="H487" s="194"/>
      <c r="I487" s="194"/>
      <c r="J487" s="194"/>
      <c r="K487" s="194"/>
      <c r="L487" s="205"/>
      <c r="M487" s="194"/>
      <c r="N487" s="194"/>
      <c r="O487" s="194"/>
      <c r="P487" s="194"/>
      <c r="Q487" s="194"/>
      <c r="R487" s="194"/>
    </row>
    <row r="488" ht="16.8" customHeight="1" spans="1:18" x14ac:dyDescent="0.25">
      <c r="A488" s="194"/>
      <c r="B488" s="194"/>
      <c r="C488" s="194"/>
      <c r="D488" s="194"/>
      <c r="E488" s="194"/>
      <c r="F488" s="194"/>
      <c r="G488" s="202"/>
      <c r="H488" s="194"/>
      <c r="I488" s="194"/>
      <c r="J488" s="194"/>
      <c r="K488" s="194"/>
      <c r="L488" s="205"/>
      <c r="M488" s="194"/>
      <c r="N488" s="194"/>
      <c r="O488" s="194"/>
      <c r="P488" s="194"/>
      <c r="Q488" s="194"/>
      <c r="R488" s="194"/>
    </row>
    <row r="489" ht="16.8" customHeight="1" spans="1:18" x14ac:dyDescent="0.25">
      <c r="A489" s="194"/>
      <c r="B489" s="194"/>
      <c r="C489" s="194"/>
      <c r="D489" s="194"/>
      <c r="E489" s="194"/>
      <c r="F489" s="194"/>
      <c r="G489" s="202"/>
      <c r="H489" s="194"/>
      <c r="I489" s="194"/>
      <c r="J489" s="194"/>
      <c r="K489" s="194"/>
      <c r="L489" s="205"/>
      <c r="M489" s="194"/>
      <c r="N489" s="194"/>
      <c r="O489" s="194"/>
      <c r="P489" s="194"/>
      <c r="Q489" s="194"/>
      <c r="R489" s="194"/>
    </row>
    <row r="490" ht="16.8" customHeight="1" spans="1:18" x14ac:dyDescent="0.25">
      <c r="A490" s="194"/>
      <c r="B490" s="194"/>
      <c r="C490" s="194"/>
      <c r="D490" s="194"/>
      <c r="E490" s="194"/>
      <c r="F490" s="194"/>
      <c r="G490" s="202"/>
      <c r="H490" s="194"/>
      <c r="I490" s="194"/>
      <c r="J490" s="194"/>
      <c r="K490" s="194"/>
      <c r="L490" s="205"/>
      <c r="M490" s="194"/>
      <c r="N490" s="194"/>
      <c r="O490" s="194"/>
      <c r="P490" s="194"/>
      <c r="Q490" s="194"/>
      <c r="R490" s="194"/>
    </row>
    <row r="491" ht="16.8" customHeight="1" spans="1:18" x14ac:dyDescent="0.25">
      <c r="A491" s="194"/>
      <c r="B491" s="194"/>
      <c r="C491" s="194"/>
      <c r="D491" s="194"/>
      <c r="E491" s="194"/>
      <c r="F491" s="194"/>
      <c r="G491" s="202"/>
      <c r="H491" s="194"/>
      <c r="I491" s="194"/>
      <c r="J491" s="194"/>
      <c r="K491" s="194"/>
      <c r="L491" s="205"/>
      <c r="M491" s="194"/>
      <c r="N491" s="194"/>
      <c r="O491" s="194"/>
      <c r="P491" s="194"/>
      <c r="Q491" s="194"/>
      <c r="R491" s="194"/>
    </row>
    <row r="492" ht="16.8" customHeight="1" spans="1:18" x14ac:dyDescent="0.25">
      <c r="A492" s="194"/>
      <c r="B492" s="194"/>
      <c r="C492" s="194"/>
      <c r="D492" s="194"/>
      <c r="E492" s="194"/>
      <c r="F492" s="194"/>
      <c r="G492" s="202"/>
      <c r="H492" s="194"/>
      <c r="I492" s="194"/>
      <c r="J492" s="194"/>
      <c r="K492" s="194"/>
      <c r="L492" s="205"/>
      <c r="M492" s="194"/>
      <c r="N492" s="194"/>
      <c r="O492" s="194"/>
      <c r="P492" s="194"/>
      <c r="Q492" s="194"/>
      <c r="R492" s="194"/>
    </row>
    <row r="493" ht="16.8" customHeight="1" spans="1:18" x14ac:dyDescent="0.25">
      <c r="A493" s="194"/>
      <c r="B493" s="194"/>
      <c r="C493" s="194"/>
      <c r="D493" s="194"/>
      <c r="E493" s="194"/>
      <c r="F493" s="194"/>
      <c r="G493" s="202"/>
      <c r="H493" s="194"/>
      <c r="I493" s="194"/>
      <c r="J493" s="194"/>
      <c r="K493" s="194"/>
      <c r="L493" s="205"/>
      <c r="M493" s="194"/>
      <c r="N493" s="194"/>
      <c r="O493" s="194"/>
      <c r="P493" s="194"/>
      <c r="Q493" s="194"/>
      <c r="R493" s="194"/>
    </row>
    <row r="494" ht="16.8" customHeight="1" spans="1:18" x14ac:dyDescent="0.25">
      <c r="A494" s="194"/>
      <c r="B494" s="194"/>
      <c r="C494" s="194"/>
      <c r="D494" s="194"/>
      <c r="E494" s="194"/>
      <c r="F494" s="194"/>
      <c r="G494" s="202"/>
      <c r="H494" s="194"/>
      <c r="I494" s="194"/>
      <c r="J494" s="194"/>
      <c r="K494" s="194"/>
      <c r="L494" s="205"/>
      <c r="M494" s="194"/>
      <c r="N494" s="194"/>
      <c r="O494" s="194"/>
      <c r="P494" s="194"/>
      <c r="Q494" s="194"/>
      <c r="R494" s="194"/>
    </row>
    <row r="495" ht="16.8" customHeight="1" spans="1:18" x14ac:dyDescent="0.25">
      <c r="A495" s="194"/>
      <c r="B495" s="194"/>
      <c r="C495" s="194"/>
      <c r="D495" s="194"/>
      <c r="E495" s="194"/>
      <c r="F495" s="194"/>
      <c r="G495" s="202"/>
      <c r="H495" s="194"/>
      <c r="I495" s="194"/>
      <c r="J495" s="194"/>
      <c r="K495" s="194"/>
      <c r="L495" s="205"/>
      <c r="M495" s="194"/>
      <c r="N495" s="194"/>
      <c r="O495" s="194"/>
      <c r="P495" s="194"/>
      <c r="Q495" s="194"/>
      <c r="R495" s="194"/>
    </row>
    <row r="496" ht="16.8" customHeight="1" spans="1:18" x14ac:dyDescent="0.25">
      <c r="A496" s="194"/>
      <c r="B496" s="194"/>
      <c r="C496" s="194"/>
      <c r="D496" s="194"/>
      <c r="E496" s="194"/>
      <c r="F496" s="194"/>
      <c r="G496" s="202"/>
      <c r="H496" s="194"/>
      <c r="I496" s="194"/>
      <c r="J496" s="194"/>
      <c r="K496" s="194"/>
      <c r="L496" s="205"/>
      <c r="M496" s="194"/>
      <c r="N496" s="194"/>
      <c r="O496" s="194"/>
      <c r="P496" s="194"/>
      <c r="Q496" s="194"/>
      <c r="R496" s="194"/>
    </row>
    <row r="497" ht="16.8" customHeight="1" spans="1:18" x14ac:dyDescent="0.25">
      <c r="A497" s="194"/>
      <c r="B497" s="194"/>
      <c r="C497" s="194"/>
      <c r="D497" s="194"/>
      <c r="E497" s="194"/>
      <c r="F497" s="194"/>
      <c r="G497" s="202"/>
      <c r="H497" s="194"/>
      <c r="I497" s="194"/>
      <c r="J497" s="194"/>
      <c r="K497" s="194"/>
      <c r="L497" s="205"/>
      <c r="M497" s="194"/>
      <c r="N497" s="194"/>
      <c r="O497" s="194"/>
      <c r="P497" s="194"/>
      <c r="Q497" s="194"/>
      <c r="R497" s="194"/>
    </row>
    <row r="498" ht="16.8" customHeight="1" spans="1:18" x14ac:dyDescent="0.25">
      <c r="A498" s="194"/>
      <c r="B498" s="194"/>
      <c r="C498" s="194"/>
      <c r="D498" s="194"/>
      <c r="E498" s="194"/>
      <c r="F498" s="194"/>
      <c r="G498" s="202"/>
      <c r="H498" s="194"/>
      <c r="I498" s="194"/>
      <c r="J498" s="194"/>
      <c r="K498" s="194"/>
      <c r="L498" s="205"/>
      <c r="M498" s="194"/>
      <c r="N498" s="194"/>
      <c r="O498" s="194"/>
      <c r="P498" s="194"/>
      <c r="Q498" s="194"/>
      <c r="R498" s="194"/>
    </row>
    <row r="499" ht="16.8" customHeight="1" spans="1:18" x14ac:dyDescent="0.25">
      <c r="A499" s="194"/>
      <c r="B499" s="194"/>
      <c r="C499" s="194"/>
      <c r="D499" s="194"/>
      <c r="E499" s="194"/>
      <c r="F499" s="194"/>
      <c r="G499" s="202"/>
      <c r="H499" s="194"/>
      <c r="I499" s="194"/>
      <c r="J499" s="194"/>
      <c r="K499" s="194"/>
      <c r="L499" s="205"/>
      <c r="M499" s="194"/>
      <c r="N499" s="194"/>
      <c r="O499" s="194"/>
      <c r="P499" s="194"/>
      <c r="Q499" s="194"/>
      <c r="R499" s="194"/>
    </row>
    <row r="500" ht="16.8" customHeight="1" spans="1:18" x14ac:dyDescent="0.25">
      <c r="A500" s="194"/>
      <c r="B500" s="194"/>
      <c r="C500" s="194"/>
      <c r="D500" s="194"/>
      <c r="E500" s="194"/>
      <c r="F500" s="194"/>
      <c r="G500" s="202"/>
      <c r="H500" s="194"/>
      <c r="I500" s="194"/>
      <c r="J500" s="194"/>
      <c r="K500" s="194"/>
      <c r="L500" s="205"/>
      <c r="M500" s="194"/>
      <c r="N500" s="194"/>
      <c r="O500" s="194"/>
      <c r="P500" s="194"/>
      <c r="Q500" s="194"/>
      <c r="R500" s="194"/>
    </row>
    <row r="501" ht="16.8" customHeight="1" spans="1:18" x14ac:dyDescent="0.25">
      <c r="A501" s="194"/>
      <c r="B501" s="194"/>
      <c r="C501" s="194"/>
      <c r="D501" s="194"/>
      <c r="E501" s="194"/>
      <c r="F501" s="194"/>
      <c r="G501" s="202"/>
      <c r="H501" s="194"/>
      <c r="I501" s="194"/>
      <c r="J501" s="194"/>
      <c r="K501" s="194"/>
      <c r="L501" s="205"/>
      <c r="M501" s="194"/>
      <c r="N501" s="194"/>
      <c r="O501" s="194"/>
      <c r="P501" s="194"/>
      <c r="Q501" s="194"/>
      <c r="R501" s="194"/>
    </row>
    <row r="502" ht="16.8" customHeight="1" spans="1:18" x14ac:dyDescent="0.25">
      <c r="A502" s="194"/>
      <c r="B502" s="194"/>
      <c r="C502" s="194"/>
      <c r="D502" s="194"/>
      <c r="E502" s="194"/>
      <c r="F502" s="194"/>
      <c r="G502" s="202"/>
      <c r="H502" s="194"/>
      <c r="I502" s="194"/>
      <c r="J502" s="194"/>
      <c r="K502" s="194"/>
      <c r="L502" s="205"/>
      <c r="M502" s="194"/>
      <c r="N502" s="194"/>
      <c r="O502" s="194"/>
      <c r="P502" s="194"/>
      <c r="Q502" s="194"/>
      <c r="R502" s="194"/>
    </row>
    <row r="503" ht="16.8" customHeight="1" spans="1:18" x14ac:dyDescent="0.25">
      <c r="A503" s="194"/>
      <c r="B503" s="194"/>
      <c r="C503" s="194"/>
      <c r="D503" s="194"/>
      <c r="E503" s="194"/>
      <c r="F503" s="194"/>
      <c r="G503" s="202"/>
      <c r="H503" s="194"/>
      <c r="I503" s="194"/>
      <c r="J503" s="194"/>
      <c r="K503" s="194"/>
      <c r="L503" s="205"/>
      <c r="M503" s="194"/>
      <c r="N503" s="194"/>
      <c r="O503" s="194"/>
      <c r="P503" s="194"/>
      <c r="Q503" s="194"/>
      <c r="R503" s="194"/>
    </row>
    <row r="504" ht="16.8" customHeight="1" spans="1:18" x14ac:dyDescent="0.25">
      <c r="A504" s="194"/>
      <c r="B504" s="194"/>
      <c r="C504" s="194"/>
      <c r="D504" s="194"/>
      <c r="E504" s="194"/>
      <c r="F504" s="194"/>
      <c r="G504" s="202"/>
      <c r="H504" s="194"/>
      <c r="I504" s="194"/>
      <c r="J504" s="194"/>
      <c r="K504" s="194"/>
      <c r="L504" s="205"/>
      <c r="M504" s="194"/>
      <c r="N504" s="194"/>
      <c r="O504" s="194"/>
      <c r="P504" s="194"/>
      <c r="Q504" s="194"/>
      <c r="R504" s="194"/>
    </row>
    <row r="505" ht="16.8" customHeight="1" spans="1:18" x14ac:dyDescent="0.25">
      <c r="A505" s="194"/>
      <c r="B505" s="194"/>
      <c r="C505" s="194"/>
      <c r="D505" s="194"/>
      <c r="E505" s="194"/>
      <c r="F505" s="194"/>
      <c r="G505" s="202"/>
      <c r="H505" s="194"/>
      <c r="I505" s="194"/>
      <c r="J505" s="194"/>
      <c r="K505" s="194"/>
      <c r="L505" s="205"/>
      <c r="M505" s="194"/>
      <c r="N505" s="194"/>
      <c r="O505" s="194"/>
      <c r="P505" s="194"/>
      <c r="Q505" s="194"/>
      <c r="R505" s="194"/>
    </row>
    <row r="506" ht="16.8" customHeight="1" spans="1:18" x14ac:dyDescent="0.25">
      <c r="A506" s="194"/>
      <c r="B506" s="194"/>
      <c r="C506" s="194"/>
      <c r="D506" s="194"/>
      <c r="E506" s="194"/>
      <c r="F506" s="194"/>
      <c r="G506" s="202"/>
      <c r="H506" s="194"/>
      <c r="I506" s="194"/>
      <c r="J506" s="194"/>
      <c r="K506" s="194"/>
      <c r="L506" s="205"/>
      <c r="M506" s="194"/>
      <c r="N506" s="194"/>
      <c r="O506" s="194"/>
      <c r="P506" s="194"/>
      <c r="Q506" s="194"/>
      <c r="R506" s="194"/>
    </row>
    <row r="507" ht="16.8" customHeight="1" spans="1:18" x14ac:dyDescent="0.25">
      <c r="A507" s="194"/>
      <c r="B507" s="194"/>
      <c r="C507" s="194"/>
      <c r="D507" s="194"/>
      <c r="E507" s="194"/>
      <c r="F507" s="194"/>
      <c r="G507" s="202"/>
      <c r="H507" s="194"/>
      <c r="I507" s="194"/>
      <c r="J507" s="194"/>
      <c r="K507" s="194"/>
      <c r="L507" s="205"/>
      <c r="M507" s="194"/>
      <c r="N507" s="194"/>
      <c r="O507" s="194"/>
      <c r="P507" s="194"/>
      <c r="Q507" s="194"/>
      <c r="R507" s="194"/>
    </row>
    <row r="508" ht="16.8" customHeight="1" spans="1:18" x14ac:dyDescent="0.25">
      <c r="A508" s="194"/>
      <c r="B508" s="194"/>
      <c r="C508" s="194"/>
      <c r="D508" s="194"/>
      <c r="E508" s="194"/>
      <c r="F508" s="194"/>
      <c r="G508" s="202"/>
      <c r="H508" s="194"/>
      <c r="I508" s="194"/>
      <c r="J508" s="194"/>
      <c r="K508" s="194"/>
      <c r="L508" s="205"/>
      <c r="M508" s="194"/>
      <c r="N508" s="194"/>
      <c r="O508" s="194"/>
      <c r="P508" s="194"/>
      <c r="Q508" s="194"/>
      <c r="R508" s="194"/>
    </row>
    <row r="509" ht="16.8" customHeight="1" spans="1:18" x14ac:dyDescent="0.25">
      <c r="A509" s="194"/>
      <c r="B509" s="194"/>
      <c r="C509" s="194"/>
      <c r="D509" s="194"/>
      <c r="E509" s="194"/>
      <c r="F509" s="194"/>
      <c r="G509" s="202"/>
      <c r="H509" s="194"/>
      <c r="I509" s="194"/>
      <c r="J509" s="194"/>
      <c r="K509" s="194"/>
      <c r="L509" s="205"/>
      <c r="M509" s="194"/>
      <c r="N509" s="194"/>
      <c r="O509" s="194"/>
      <c r="P509" s="194"/>
      <c r="Q509" s="194"/>
      <c r="R509" s="194"/>
    </row>
    <row r="510" ht="16.8" customHeight="1" spans="1:18" x14ac:dyDescent="0.25">
      <c r="A510" s="194"/>
      <c r="B510" s="194"/>
      <c r="C510" s="194"/>
      <c r="D510" s="194"/>
      <c r="E510" s="194"/>
      <c r="F510" s="194"/>
      <c r="G510" s="202"/>
      <c r="H510" s="194"/>
      <c r="I510" s="194"/>
      <c r="J510" s="194"/>
      <c r="K510" s="194"/>
      <c r="L510" s="205"/>
      <c r="M510" s="194"/>
      <c r="N510" s="194"/>
      <c r="O510" s="194"/>
      <c r="P510" s="194"/>
      <c r="Q510" s="194"/>
      <c r="R510" s="194"/>
    </row>
    <row r="511" ht="16.8" customHeight="1" spans="1:18" x14ac:dyDescent="0.25">
      <c r="A511" s="194"/>
      <c r="B511" s="194"/>
      <c r="C511" s="194"/>
      <c r="D511" s="194"/>
      <c r="E511" s="194"/>
      <c r="F511" s="194"/>
      <c r="G511" s="202"/>
      <c r="H511" s="194"/>
      <c r="I511" s="194"/>
      <c r="J511" s="194"/>
      <c r="K511" s="194"/>
      <c r="L511" s="205"/>
      <c r="M511" s="194"/>
      <c r="N511" s="194"/>
      <c r="O511" s="194"/>
      <c r="P511" s="194"/>
      <c r="Q511" s="194"/>
      <c r="R511" s="194"/>
    </row>
    <row r="512" ht="16.8" customHeight="1" spans="1:18" x14ac:dyDescent="0.25">
      <c r="A512" s="194"/>
      <c r="B512" s="194"/>
      <c r="C512" s="194"/>
      <c r="D512" s="194"/>
      <c r="E512" s="194"/>
      <c r="F512" s="194"/>
      <c r="G512" s="202"/>
      <c r="H512" s="194"/>
      <c r="I512" s="194"/>
      <c r="J512" s="194"/>
      <c r="K512" s="194"/>
      <c r="L512" s="205"/>
      <c r="M512" s="194"/>
      <c r="N512" s="194"/>
      <c r="O512" s="194"/>
      <c r="P512" s="194"/>
      <c r="Q512" s="194"/>
      <c r="R512" s="194"/>
    </row>
    <row r="513" ht="16.8" customHeight="1" spans="1:18" x14ac:dyDescent="0.25">
      <c r="A513" s="194"/>
      <c r="B513" s="194"/>
      <c r="C513" s="194"/>
      <c r="D513" s="194"/>
      <c r="E513" s="194"/>
      <c r="F513" s="194"/>
      <c r="G513" s="202"/>
      <c r="H513" s="194"/>
      <c r="I513" s="194"/>
      <c r="J513" s="194"/>
      <c r="K513" s="194"/>
      <c r="L513" s="205"/>
      <c r="M513" s="194"/>
      <c r="N513" s="194"/>
      <c r="O513" s="194"/>
      <c r="P513" s="194"/>
      <c r="Q513" s="194"/>
      <c r="R513" s="194"/>
    </row>
    <row r="514" ht="16.8" customHeight="1" spans="1:18" x14ac:dyDescent="0.25">
      <c r="A514" s="194"/>
      <c r="B514" s="194"/>
      <c r="C514" s="194"/>
      <c r="D514" s="194"/>
      <c r="E514" s="194"/>
      <c r="F514" s="194"/>
      <c r="G514" s="202"/>
      <c r="H514" s="194"/>
      <c r="I514" s="194"/>
      <c r="J514" s="194"/>
      <c r="K514" s="194"/>
      <c r="L514" s="205"/>
      <c r="M514" s="194"/>
      <c r="N514" s="194"/>
      <c r="O514" s="194"/>
      <c r="P514" s="194"/>
      <c r="Q514" s="194"/>
      <c r="R514" s="194"/>
    </row>
    <row r="515" ht="16.8" customHeight="1" spans="1:18" x14ac:dyDescent="0.25">
      <c r="A515" s="194"/>
      <c r="B515" s="194"/>
      <c r="C515" s="194"/>
      <c r="D515" s="194"/>
      <c r="E515" s="194"/>
      <c r="F515" s="194"/>
      <c r="G515" s="202"/>
      <c r="H515" s="194"/>
      <c r="I515" s="194"/>
      <c r="J515" s="194"/>
      <c r="K515" s="194"/>
      <c r="L515" s="205"/>
      <c r="M515" s="194"/>
      <c r="N515" s="194"/>
      <c r="O515" s="194"/>
      <c r="P515" s="194"/>
      <c r="Q515" s="194"/>
      <c r="R515" s="194"/>
    </row>
    <row r="516" ht="16.8" customHeight="1" spans="1:18" x14ac:dyDescent="0.25">
      <c r="A516" s="194"/>
      <c r="B516" s="194"/>
      <c r="C516" s="194"/>
      <c r="D516" s="194"/>
      <c r="E516" s="194"/>
      <c r="F516" s="194"/>
      <c r="G516" s="202"/>
      <c r="H516" s="194"/>
      <c r="I516" s="194"/>
      <c r="J516" s="194"/>
      <c r="K516" s="194"/>
      <c r="L516" s="205"/>
      <c r="M516" s="194"/>
      <c r="N516" s="194"/>
      <c r="O516" s="194"/>
      <c r="P516" s="194"/>
      <c r="Q516" s="194"/>
      <c r="R516" s="194"/>
    </row>
    <row r="517" ht="16.8" customHeight="1" spans="1:18" x14ac:dyDescent="0.25">
      <c r="A517" s="194"/>
      <c r="B517" s="194"/>
      <c r="C517" s="194"/>
      <c r="D517" s="194"/>
      <c r="E517" s="194"/>
      <c r="F517" s="194"/>
      <c r="G517" s="202"/>
      <c r="H517" s="194"/>
      <c r="I517" s="194"/>
      <c r="J517" s="194"/>
      <c r="K517" s="194"/>
      <c r="L517" s="205"/>
      <c r="M517" s="194"/>
      <c r="N517" s="194"/>
      <c r="O517" s="194"/>
      <c r="P517" s="194"/>
      <c r="Q517" s="194"/>
      <c r="R517" s="194"/>
    </row>
    <row r="518" ht="16.8" customHeight="1" spans="1:18" x14ac:dyDescent="0.25">
      <c r="A518" s="194"/>
      <c r="B518" s="194"/>
      <c r="C518" s="194"/>
      <c r="D518" s="194"/>
      <c r="E518" s="194"/>
      <c r="F518" s="194"/>
      <c r="G518" s="202"/>
      <c r="H518" s="194"/>
      <c r="I518" s="194"/>
      <c r="J518" s="194"/>
      <c r="K518" s="194"/>
      <c r="L518" s="205"/>
      <c r="M518" s="194"/>
      <c r="N518" s="194"/>
      <c r="O518" s="194"/>
      <c r="P518" s="194"/>
      <c r="Q518" s="194"/>
      <c r="R518" s="194"/>
    </row>
    <row r="519" ht="16.8" customHeight="1" spans="1:18" x14ac:dyDescent="0.25">
      <c r="A519" s="194"/>
      <c r="B519" s="194"/>
      <c r="C519" s="194"/>
      <c r="D519" s="194"/>
      <c r="E519" s="194"/>
      <c r="F519" s="194"/>
      <c r="G519" s="202"/>
      <c r="H519" s="194"/>
      <c r="I519" s="194"/>
      <c r="J519" s="194"/>
      <c r="K519" s="194"/>
      <c r="L519" s="205"/>
      <c r="M519" s="194"/>
      <c r="N519" s="194"/>
      <c r="O519" s="194"/>
      <c r="P519" s="194"/>
      <c r="Q519" s="194"/>
      <c r="R519" s="194"/>
    </row>
    <row r="520" ht="16.8" customHeight="1" spans="1:18" x14ac:dyDescent="0.25">
      <c r="A520" s="194"/>
      <c r="B520" s="194"/>
      <c r="C520" s="194"/>
      <c r="D520" s="194"/>
      <c r="E520" s="194"/>
      <c r="F520" s="194"/>
      <c r="G520" s="202"/>
      <c r="H520" s="194"/>
      <c r="I520" s="194"/>
      <c r="J520" s="194"/>
      <c r="K520" s="194"/>
      <c r="L520" s="205"/>
      <c r="M520" s="194"/>
      <c r="N520" s="194"/>
      <c r="O520" s="194"/>
      <c r="P520" s="194"/>
      <c r="Q520" s="194"/>
      <c r="R520" s="194"/>
    </row>
    <row r="521" ht="16.8" customHeight="1" spans="1:18" x14ac:dyDescent="0.25">
      <c r="A521" s="194"/>
      <c r="B521" s="194"/>
      <c r="C521" s="194"/>
      <c r="D521" s="194"/>
      <c r="E521" s="194"/>
      <c r="F521" s="194"/>
      <c r="G521" s="202"/>
      <c r="H521" s="194"/>
      <c r="I521" s="194"/>
      <c r="J521" s="194"/>
      <c r="K521" s="194"/>
      <c r="L521" s="205"/>
      <c r="M521" s="194"/>
      <c r="N521" s="194"/>
      <c r="O521" s="194"/>
      <c r="P521" s="194"/>
      <c r="Q521" s="194"/>
      <c r="R521" s="194"/>
    </row>
    <row r="522" ht="16.8" customHeight="1" spans="1:18" x14ac:dyDescent="0.25">
      <c r="A522" s="194"/>
      <c r="B522" s="194"/>
      <c r="C522" s="194"/>
      <c r="D522" s="194"/>
      <c r="E522" s="194"/>
      <c r="F522" s="194"/>
      <c r="G522" s="202"/>
      <c r="H522" s="194"/>
      <c r="I522" s="194"/>
      <c r="J522" s="194"/>
      <c r="K522" s="194"/>
      <c r="L522" s="205"/>
      <c r="M522" s="194"/>
      <c r="N522" s="194"/>
      <c r="O522" s="194"/>
      <c r="P522" s="194"/>
      <c r="Q522" s="194"/>
      <c r="R522" s="194"/>
    </row>
    <row r="523" ht="16.8" customHeight="1" spans="1:18" x14ac:dyDescent="0.25">
      <c r="A523" s="194"/>
      <c r="B523" s="194"/>
      <c r="C523" s="194"/>
      <c r="D523" s="194"/>
      <c r="E523" s="194"/>
      <c r="F523" s="194"/>
      <c r="G523" s="202"/>
      <c r="H523" s="194"/>
      <c r="I523" s="194"/>
      <c r="J523" s="194"/>
      <c r="K523" s="194"/>
      <c r="L523" s="205"/>
      <c r="M523" s="194"/>
      <c r="N523" s="194"/>
      <c r="O523" s="194"/>
      <c r="P523" s="194"/>
      <c r="Q523" s="194"/>
      <c r="R523" s="194"/>
    </row>
    <row r="524" ht="16.8" customHeight="1" spans="1:18" x14ac:dyDescent="0.25">
      <c r="A524" s="194"/>
      <c r="B524" s="194"/>
      <c r="C524" s="194"/>
      <c r="D524" s="194"/>
      <c r="E524" s="194"/>
      <c r="F524" s="194"/>
      <c r="G524" s="202"/>
      <c r="H524" s="194"/>
      <c r="I524" s="194"/>
      <c r="J524" s="194"/>
      <c r="K524" s="194"/>
      <c r="L524" s="205"/>
      <c r="M524" s="194"/>
      <c r="N524" s="194"/>
      <c r="O524" s="194"/>
      <c r="P524" s="194"/>
      <c r="Q524" s="194"/>
      <c r="R524" s="194"/>
    </row>
    <row r="525" ht="16.8" customHeight="1" spans="1:18" x14ac:dyDescent="0.25">
      <c r="A525" s="194"/>
      <c r="B525" s="194"/>
      <c r="C525" s="194"/>
      <c r="D525" s="194"/>
      <c r="E525" s="194"/>
      <c r="F525" s="194"/>
      <c r="G525" s="202"/>
      <c r="H525" s="194"/>
      <c r="I525" s="194"/>
      <c r="J525" s="194"/>
      <c r="K525" s="194"/>
      <c r="L525" s="205"/>
      <c r="M525" s="194"/>
      <c r="N525" s="194"/>
      <c r="O525" s="194"/>
      <c r="P525" s="194"/>
      <c r="Q525" s="194"/>
      <c r="R525" s="194"/>
    </row>
    <row r="526" ht="16.8" customHeight="1" spans="1:18" x14ac:dyDescent="0.25">
      <c r="A526" s="194"/>
      <c r="B526" s="194"/>
      <c r="C526" s="194"/>
      <c r="D526" s="194"/>
      <c r="E526" s="194"/>
      <c r="F526" s="194"/>
      <c r="G526" s="202"/>
      <c r="H526" s="194"/>
      <c r="I526" s="194"/>
      <c r="J526" s="194"/>
      <c r="K526" s="194"/>
      <c r="L526" s="205"/>
      <c r="M526" s="194"/>
      <c r="N526" s="194"/>
      <c r="O526" s="194"/>
      <c r="P526" s="194"/>
      <c r="Q526" s="194"/>
      <c r="R526" s="194"/>
    </row>
    <row r="527" ht="16.8" customHeight="1" spans="1:18" x14ac:dyDescent="0.25">
      <c r="A527" s="194"/>
      <c r="B527" s="194"/>
      <c r="C527" s="194"/>
      <c r="D527" s="194"/>
      <c r="E527" s="194"/>
      <c r="F527" s="194"/>
      <c r="G527" s="202"/>
      <c r="H527" s="194"/>
      <c r="I527" s="194"/>
      <c r="J527" s="194"/>
      <c r="K527" s="194"/>
      <c r="L527" s="205"/>
      <c r="M527" s="194"/>
      <c r="N527" s="194"/>
      <c r="O527" s="194"/>
      <c r="P527" s="194"/>
      <c r="Q527" s="194"/>
      <c r="R527" s="194"/>
    </row>
    <row r="528" ht="16.8" customHeight="1" spans="1:18" x14ac:dyDescent="0.25">
      <c r="A528" s="194"/>
      <c r="B528" s="194"/>
      <c r="C528" s="194"/>
      <c r="D528" s="194"/>
      <c r="E528" s="194"/>
      <c r="F528" s="194"/>
      <c r="G528" s="202"/>
      <c r="H528" s="194"/>
      <c r="I528" s="194"/>
      <c r="J528" s="194"/>
      <c r="K528" s="194"/>
      <c r="L528" s="205"/>
      <c r="M528" s="194"/>
      <c r="N528" s="194"/>
      <c r="O528" s="194"/>
      <c r="P528" s="194"/>
      <c r="Q528" s="194"/>
      <c r="R528" s="194"/>
    </row>
    <row r="529" ht="16.8" customHeight="1" spans="1:18" x14ac:dyDescent="0.25">
      <c r="A529" s="194"/>
      <c r="B529" s="194"/>
      <c r="C529" s="194"/>
      <c r="D529" s="194"/>
      <c r="E529" s="194"/>
      <c r="F529" s="194"/>
      <c r="G529" s="202"/>
      <c r="H529" s="194"/>
      <c r="I529" s="194"/>
      <c r="J529" s="194"/>
      <c r="K529" s="194"/>
      <c r="L529" s="205"/>
      <c r="M529" s="194"/>
      <c r="N529" s="194"/>
      <c r="O529" s="194"/>
      <c r="P529" s="194"/>
      <c r="Q529" s="194"/>
      <c r="R529" s="194"/>
    </row>
    <row r="530" ht="16.8" customHeight="1" spans="1:18" x14ac:dyDescent="0.25">
      <c r="A530" s="194"/>
      <c r="B530" s="194"/>
      <c r="C530" s="194"/>
      <c r="D530" s="194"/>
      <c r="E530" s="194"/>
      <c r="F530" s="194"/>
      <c r="G530" s="202"/>
      <c r="H530" s="194"/>
      <c r="I530" s="194"/>
      <c r="J530" s="194"/>
      <c r="K530" s="194"/>
      <c r="L530" s="205"/>
      <c r="M530" s="194"/>
      <c r="N530" s="194"/>
      <c r="O530" s="194"/>
      <c r="P530" s="194"/>
      <c r="Q530" s="194"/>
      <c r="R530" s="194"/>
    </row>
    <row r="531" ht="16.8" customHeight="1" spans="1:18" x14ac:dyDescent="0.25">
      <c r="A531" s="194"/>
      <c r="B531" s="194"/>
      <c r="C531" s="194"/>
      <c r="D531" s="194"/>
      <c r="E531" s="194"/>
      <c r="F531" s="194"/>
      <c r="G531" s="202"/>
      <c r="H531" s="194"/>
      <c r="I531" s="194"/>
      <c r="J531" s="194"/>
      <c r="K531" s="194"/>
      <c r="L531" s="205"/>
      <c r="M531" s="194"/>
      <c r="N531" s="194"/>
      <c r="O531" s="194"/>
      <c r="P531" s="194"/>
      <c r="Q531" s="194"/>
      <c r="R531" s="194"/>
    </row>
    <row r="532" ht="16.8" customHeight="1" spans="1:18" x14ac:dyDescent="0.25">
      <c r="A532" s="194"/>
      <c r="B532" s="194"/>
      <c r="C532" s="194"/>
      <c r="D532" s="194"/>
      <c r="E532" s="194"/>
      <c r="F532" s="194"/>
      <c r="G532" s="202"/>
      <c r="H532" s="194"/>
      <c r="I532" s="194"/>
      <c r="J532" s="194"/>
      <c r="K532" s="194"/>
      <c r="L532" s="205"/>
      <c r="M532" s="194"/>
      <c r="N532" s="194"/>
      <c r="O532" s="194"/>
      <c r="P532" s="194"/>
      <c r="Q532" s="194"/>
      <c r="R532" s="194"/>
    </row>
    <row r="533" ht="16.8" customHeight="1" spans="1:18" x14ac:dyDescent="0.25">
      <c r="A533" s="194"/>
      <c r="B533" s="194"/>
      <c r="C533" s="194"/>
      <c r="D533" s="194"/>
      <c r="E533" s="194"/>
      <c r="F533" s="194"/>
      <c r="G533" s="202"/>
      <c r="H533" s="194"/>
      <c r="I533" s="194"/>
      <c r="J533" s="194"/>
      <c r="K533" s="194"/>
      <c r="L533" s="205"/>
      <c r="M533" s="194"/>
      <c r="N533" s="194"/>
      <c r="O533" s="194"/>
      <c r="P533" s="194"/>
      <c r="Q533" s="194"/>
      <c r="R533" s="194"/>
    </row>
    <row r="534" ht="16.8" customHeight="1" spans="1:18" x14ac:dyDescent="0.25">
      <c r="A534" s="194"/>
      <c r="B534" s="194"/>
      <c r="C534" s="194"/>
      <c r="D534" s="194"/>
      <c r="E534" s="194"/>
      <c r="F534" s="194"/>
      <c r="G534" s="202"/>
      <c r="H534" s="194"/>
      <c r="I534" s="194"/>
      <c r="J534" s="194"/>
      <c r="K534" s="194"/>
      <c r="L534" s="205"/>
      <c r="M534" s="194"/>
      <c r="N534" s="194"/>
      <c r="O534" s="194"/>
      <c r="P534" s="194"/>
      <c r="Q534" s="194"/>
      <c r="R534" s="194"/>
    </row>
    <row r="535" ht="16.8" customHeight="1" spans="1:18" x14ac:dyDescent="0.25">
      <c r="A535" s="194"/>
      <c r="B535" s="194"/>
      <c r="C535" s="194"/>
      <c r="D535" s="194"/>
      <c r="E535" s="194"/>
      <c r="F535" s="194"/>
      <c r="G535" s="202"/>
      <c r="H535" s="194"/>
      <c r="I535" s="194"/>
      <c r="J535" s="194"/>
      <c r="K535" s="194"/>
      <c r="L535" s="205"/>
      <c r="M535" s="194"/>
      <c r="N535" s="194"/>
      <c r="O535" s="194"/>
      <c r="P535" s="194"/>
      <c r="Q535" s="194"/>
      <c r="R535" s="194"/>
    </row>
    <row r="536" ht="16.8" customHeight="1" spans="1:18" x14ac:dyDescent="0.25">
      <c r="A536" s="194"/>
      <c r="B536" s="194"/>
      <c r="C536" s="194"/>
      <c r="D536" s="194"/>
      <c r="E536" s="194"/>
      <c r="F536" s="194"/>
      <c r="G536" s="202"/>
      <c r="H536" s="194"/>
      <c r="I536" s="194"/>
      <c r="J536" s="194"/>
      <c r="K536" s="194"/>
      <c r="L536" s="205"/>
      <c r="M536" s="194"/>
      <c r="N536" s="194"/>
      <c r="O536" s="194"/>
      <c r="P536" s="194"/>
      <c r="Q536" s="194"/>
      <c r="R536" s="194"/>
    </row>
    <row r="537" ht="16.8" customHeight="1" spans="1:18" x14ac:dyDescent="0.25">
      <c r="A537" s="194"/>
      <c r="B537" s="194"/>
      <c r="C537" s="194"/>
      <c r="D537" s="194"/>
      <c r="E537" s="194"/>
      <c r="F537" s="194"/>
      <c r="G537" s="202"/>
      <c r="H537" s="194"/>
      <c r="I537" s="194"/>
      <c r="J537" s="194"/>
      <c r="K537" s="194"/>
      <c r="L537" s="205"/>
      <c r="M537" s="194"/>
      <c r="N537" s="194"/>
      <c r="O537" s="194"/>
      <c r="P537" s="194"/>
      <c r="Q537" s="194"/>
      <c r="R537" s="194"/>
    </row>
    <row r="538" ht="16.8" customHeight="1" spans="1:18" x14ac:dyDescent="0.25">
      <c r="A538" s="194"/>
      <c r="B538" s="194"/>
      <c r="C538" s="194"/>
      <c r="D538" s="194"/>
      <c r="E538" s="194"/>
      <c r="F538" s="194"/>
      <c r="G538" s="202"/>
      <c r="H538" s="194"/>
      <c r="I538" s="194"/>
      <c r="J538" s="194"/>
      <c r="K538" s="194"/>
      <c r="L538" s="205"/>
      <c r="M538" s="194"/>
      <c r="N538" s="194"/>
      <c r="O538" s="194"/>
      <c r="P538" s="194"/>
      <c r="Q538" s="194"/>
      <c r="R538" s="194"/>
    </row>
    <row r="539" ht="16.8" customHeight="1" spans="1:18" x14ac:dyDescent="0.25">
      <c r="A539" s="194"/>
      <c r="B539" s="194"/>
      <c r="C539" s="194"/>
      <c r="D539" s="194"/>
      <c r="E539" s="194"/>
      <c r="F539" s="194"/>
      <c r="G539" s="202"/>
      <c r="H539" s="194"/>
      <c r="I539" s="194"/>
      <c r="J539" s="194"/>
      <c r="K539" s="194"/>
      <c r="L539" s="205"/>
      <c r="M539" s="194"/>
      <c r="N539" s="194"/>
      <c r="O539" s="194"/>
      <c r="P539" s="194"/>
      <c r="Q539" s="194"/>
      <c r="R539" s="194"/>
    </row>
    <row r="540" ht="16.8" customHeight="1" spans="1:18" x14ac:dyDescent="0.25">
      <c r="A540" s="194"/>
      <c r="B540" s="194"/>
      <c r="C540" s="194"/>
      <c r="D540" s="194"/>
      <c r="E540" s="194"/>
      <c r="F540" s="194"/>
      <c r="G540" s="202"/>
      <c r="H540" s="194"/>
      <c r="I540" s="194"/>
      <c r="J540" s="194"/>
      <c r="K540" s="194"/>
      <c r="L540" s="205"/>
      <c r="M540" s="194"/>
      <c r="N540" s="194"/>
      <c r="O540" s="194"/>
      <c r="P540" s="194"/>
      <c r="Q540" s="194"/>
      <c r="R540" s="194"/>
    </row>
    <row r="541" ht="16.8" customHeight="1" spans="1:18" x14ac:dyDescent="0.25">
      <c r="A541" s="194"/>
      <c r="B541" s="194"/>
      <c r="C541" s="194"/>
      <c r="D541" s="194"/>
      <c r="E541" s="194"/>
      <c r="F541" s="194"/>
      <c r="G541" s="202"/>
      <c r="H541" s="194"/>
      <c r="I541" s="194"/>
      <c r="J541" s="194"/>
      <c r="K541" s="194"/>
      <c r="L541" s="205"/>
      <c r="M541" s="194"/>
      <c r="N541" s="194"/>
      <c r="O541" s="194"/>
      <c r="P541" s="194"/>
      <c r="Q541" s="194"/>
      <c r="R541" s="194"/>
    </row>
    <row r="542" ht="16.8" customHeight="1" spans="1:18" x14ac:dyDescent="0.25">
      <c r="A542" s="194"/>
      <c r="B542" s="194"/>
      <c r="C542" s="194"/>
      <c r="D542" s="194"/>
      <c r="E542" s="194"/>
      <c r="F542" s="194"/>
      <c r="G542" s="202"/>
      <c r="H542" s="194"/>
      <c r="I542" s="194"/>
      <c r="J542" s="194"/>
      <c r="K542" s="194"/>
      <c r="L542" s="205"/>
      <c r="M542" s="194"/>
      <c r="N542" s="194"/>
      <c r="O542" s="194"/>
      <c r="P542" s="194"/>
      <c r="Q542" s="194"/>
      <c r="R542" s="194"/>
    </row>
    <row r="543" ht="16.8" customHeight="1" spans="1:18" x14ac:dyDescent="0.25">
      <c r="A543" s="194"/>
      <c r="B543" s="194"/>
      <c r="C543" s="194"/>
      <c r="D543" s="194"/>
      <c r="E543" s="194"/>
      <c r="F543" s="194"/>
      <c r="G543" s="202"/>
      <c r="H543" s="194"/>
      <c r="I543" s="194"/>
      <c r="J543" s="194"/>
      <c r="K543" s="194"/>
      <c r="L543" s="205"/>
      <c r="M543" s="194"/>
      <c r="N543" s="194"/>
      <c r="O543" s="194"/>
      <c r="P543" s="194"/>
      <c r="Q543" s="194"/>
      <c r="R543" s="194"/>
    </row>
    <row r="544" ht="16.8" customHeight="1" spans="1:18" x14ac:dyDescent="0.25">
      <c r="A544" s="194"/>
      <c r="B544" s="194"/>
      <c r="C544" s="194"/>
      <c r="D544" s="194"/>
      <c r="E544" s="194"/>
      <c r="F544" s="194"/>
      <c r="G544" s="202"/>
      <c r="H544" s="194"/>
      <c r="I544" s="194"/>
      <c r="J544" s="194"/>
      <c r="K544" s="194"/>
      <c r="L544" s="205"/>
      <c r="M544" s="194"/>
      <c r="N544" s="194"/>
      <c r="O544" s="194"/>
      <c r="P544" s="194"/>
      <c r="Q544" s="194"/>
      <c r="R544" s="194"/>
    </row>
    <row r="545" ht="16.8" customHeight="1" spans="1:18" x14ac:dyDescent="0.25">
      <c r="A545" s="194"/>
      <c r="B545" s="194"/>
      <c r="C545" s="194"/>
      <c r="D545" s="194"/>
      <c r="E545" s="194"/>
      <c r="F545" s="194"/>
      <c r="G545" s="202"/>
      <c r="H545" s="194"/>
      <c r="I545" s="194"/>
      <c r="J545" s="194"/>
      <c r="K545" s="194"/>
      <c r="L545" s="205"/>
      <c r="M545" s="194"/>
      <c r="N545" s="194"/>
      <c r="O545" s="194"/>
      <c r="P545" s="194"/>
      <c r="Q545" s="194"/>
      <c r="R545" s="194"/>
    </row>
    <row r="546" ht="16.8" customHeight="1" spans="1:18" x14ac:dyDescent="0.25">
      <c r="A546" s="194"/>
      <c r="B546" s="194"/>
      <c r="C546" s="194"/>
      <c r="D546" s="194"/>
      <c r="E546" s="194"/>
      <c r="F546" s="194"/>
      <c r="G546" s="202"/>
      <c r="H546" s="194"/>
      <c r="I546" s="194"/>
      <c r="J546" s="194"/>
      <c r="K546" s="194"/>
      <c r="L546" s="205"/>
      <c r="M546" s="194"/>
      <c r="N546" s="194"/>
      <c r="O546" s="194"/>
      <c r="P546" s="194"/>
      <c r="Q546" s="194"/>
      <c r="R546" s="194"/>
    </row>
    <row r="547" ht="16.8" customHeight="1" spans="1:18" x14ac:dyDescent="0.25">
      <c r="A547" s="194"/>
      <c r="B547" s="194"/>
      <c r="C547" s="194"/>
      <c r="D547" s="194"/>
      <c r="E547" s="194"/>
      <c r="F547" s="194"/>
      <c r="G547" s="202"/>
      <c r="H547" s="194"/>
      <c r="I547" s="194"/>
      <c r="J547" s="194"/>
      <c r="K547" s="194"/>
      <c r="L547" s="205"/>
      <c r="M547" s="194"/>
      <c r="N547" s="194"/>
      <c r="O547" s="194"/>
      <c r="P547" s="194"/>
      <c r="Q547" s="194"/>
      <c r="R547" s="194"/>
    </row>
    <row r="548" ht="16.8" customHeight="1" spans="1:18" x14ac:dyDescent="0.25">
      <c r="A548" s="194"/>
      <c r="B548" s="194"/>
      <c r="C548" s="194"/>
      <c r="D548" s="194"/>
      <c r="E548" s="194"/>
      <c r="F548" s="194"/>
      <c r="G548" s="202"/>
      <c r="H548" s="194"/>
      <c r="I548" s="194"/>
      <c r="J548" s="194"/>
      <c r="K548" s="194"/>
      <c r="L548" s="205"/>
      <c r="M548" s="194"/>
      <c r="N548" s="194"/>
      <c r="O548" s="194"/>
      <c r="P548" s="194"/>
      <c r="Q548" s="194"/>
      <c r="R548" s="194"/>
    </row>
    <row r="549" ht="16.8" customHeight="1" spans="1:18" x14ac:dyDescent="0.25">
      <c r="A549" s="194"/>
      <c r="B549" s="194"/>
      <c r="C549" s="194"/>
      <c r="D549" s="194"/>
      <c r="E549" s="194"/>
      <c r="F549" s="194"/>
      <c r="G549" s="202"/>
      <c r="H549" s="194"/>
      <c r="I549" s="194"/>
      <c r="J549" s="194"/>
      <c r="K549" s="194"/>
      <c r="L549" s="205"/>
      <c r="M549" s="194"/>
      <c r="N549" s="194"/>
      <c r="O549" s="194"/>
      <c r="P549" s="194"/>
      <c r="Q549" s="194"/>
      <c r="R549" s="194"/>
    </row>
    <row r="550" ht="16.8" customHeight="1" spans="1:18" x14ac:dyDescent="0.25">
      <c r="A550" s="194"/>
      <c r="B550" s="194"/>
      <c r="C550" s="194"/>
      <c r="D550" s="194"/>
      <c r="E550" s="194"/>
      <c r="F550" s="194"/>
      <c r="G550" s="202"/>
      <c r="H550" s="194"/>
      <c r="I550" s="194"/>
      <c r="J550" s="194"/>
      <c r="K550" s="194"/>
      <c r="L550" s="205"/>
      <c r="M550" s="194"/>
      <c r="N550" s="194"/>
      <c r="O550" s="194"/>
      <c r="P550" s="194"/>
      <c r="Q550" s="194"/>
      <c r="R550" s="194"/>
    </row>
    <row r="551" ht="16.8" customHeight="1" spans="1:18" x14ac:dyDescent="0.25">
      <c r="A551" s="194"/>
      <c r="B551" s="194"/>
      <c r="C551" s="194"/>
      <c r="D551" s="194"/>
      <c r="E551" s="194"/>
      <c r="F551" s="194"/>
      <c r="G551" s="202"/>
      <c r="H551" s="194"/>
      <c r="I551" s="194"/>
      <c r="J551" s="194"/>
      <c r="K551" s="194"/>
      <c r="L551" s="205"/>
      <c r="M551" s="194"/>
      <c r="N551" s="194"/>
      <c r="O551" s="194"/>
      <c r="P551" s="194"/>
      <c r="Q551" s="194"/>
      <c r="R551" s="194"/>
    </row>
    <row r="552" ht="16.8" customHeight="1" spans="1:18" x14ac:dyDescent="0.25">
      <c r="A552" s="194"/>
      <c r="B552" s="194"/>
      <c r="C552" s="194"/>
      <c r="D552" s="194"/>
      <c r="E552" s="194"/>
      <c r="F552" s="194"/>
      <c r="G552" s="202"/>
      <c r="H552" s="194"/>
      <c r="I552" s="194"/>
      <c r="J552" s="194"/>
      <c r="K552" s="194"/>
      <c r="L552" s="205"/>
      <c r="M552" s="194"/>
      <c r="N552" s="194"/>
      <c r="O552" s="194"/>
      <c r="P552" s="194"/>
      <c r="Q552" s="194"/>
      <c r="R552" s="194"/>
    </row>
    <row r="553" ht="16.8" customHeight="1" spans="1:18" x14ac:dyDescent="0.25">
      <c r="A553" s="194"/>
      <c r="B553" s="194"/>
      <c r="C553" s="194"/>
      <c r="D553" s="194"/>
      <c r="E553" s="194"/>
      <c r="F553" s="194"/>
      <c r="G553" s="202"/>
      <c r="H553" s="194"/>
      <c r="I553" s="194"/>
      <c r="J553" s="194"/>
      <c r="K553" s="194"/>
      <c r="L553" s="205"/>
      <c r="M553" s="194"/>
      <c r="N553" s="194"/>
      <c r="O553" s="194"/>
      <c r="P553" s="194"/>
      <c r="Q553" s="194"/>
      <c r="R553" s="194"/>
    </row>
    <row r="554" ht="16.8" customHeight="1" spans="1:18" x14ac:dyDescent="0.25">
      <c r="A554" s="194"/>
      <c r="B554" s="194"/>
      <c r="C554" s="194"/>
      <c r="D554" s="194"/>
      <c r="E554" s="194"/>
      <c r="F554" s="194"/>
      <c r="G554" s="202"/>
      <c r="H554" s="194"/>
      <c r="I554" s="194"/>
      <c r="J554" s="194"/>
      <c r="K554" s="194"/>
      <c r="L554" s="205"/>
      <c r="M554" s="194"/>
      <c r="N554" s="194"/>
      <c r="O554" s="194"/>
      <c r="P554" s="194"/>
      <c r="Q554" s="194"/>
      <c r="R554" s="194"/>
    </row>
    <row r="555" ht="16.8" customHeight="1" spans="1:18" x14ac:dyDescent="0.25">
      <c r="A555" s="194"/>
      <c r="B555" s="194"/>
      <c r="C555" s="194"/>
      <c r="D555" s="194"/>
      <c r="E555" s="194"/>
      <c r="F555" s="194"/>
      <c r="G555" s="202"/>
      <c r="H555" s="194"/>
      <c r="I555" s="194"/>
      <c r="J555" s="194"/>
      <c r="K555" s="194"/>
      <c r="L555" s="205"/>
      <c r="M555" s="194"/>
      <c r="N555" s="194"/>
      <c r="O555" s="194"/>
      <c r="P555" s="194"/>
      <c r="Q555" s="194"/>
      <c r="R555" s="194"/>
    </row>
    <row r="556" ht="16.8" customHeight="1" spans="1:18" x14ac:dyDescent="0.25">
      <c r="A556" s="194"/>
      <c r="B556" s="194"/>
      <c r="C556" s="194"/>
      <c r="D556" s="194"/>
      <c r="E556" s="194"/>
      <c r="F556" s="194"/>
      <c r="G556" s="202"/>
      <c r="H556" s="194"/>
      <c r="I556" s="194"/>
      <c r="J556" s="194"/>
      <c r="K556" s="194"/>
      <c r="L556" s="205"/>
      <c r="M556" s="194"/>
      <c r="N556" s="194"/>
      <c r="O556" s="194"/>
      <c r="P556" s="194"/>
      <c r="Q556" s="194"/>
      <c r="R556" s="194"/>
    </row>
    <row r="557" ht="16.8" customHeight="1" spans="1:18" x14ac:dyDescent="0.25">
      <c r="A557" s="194"/>
      <c r="B557" s="194"/>
      <c r="C557" s="194"/>
      <c r="D557" s="194"/>
      <c r="E557" s="194"/>
      <c r="F557" s="194"/>
      <c r="G557" s="202"/>
      <c r="H557" s="194"/>
      <c r="I557" s="194"/>
      <c r="J557" s="194"/>
      <c r="K557" s="194"/>
      <c r="L557" s="205"/>
      <c r="M557" s="194"/>
      <c r="N557" s="194"/>
      <c r="O557" s="194"/>
      <c r="P557" s="194"/>
      <c r="Q557" s="194"/>
      <c r="R557" s="194"/>
    </row>
    <row r="558" ht="16.8" customHeight="1" spans="1:18" x14ac:dyDescent="0.25">
      <c r="A558" s="194"/>
      <c r="B558" s="194"/>
      <c r="C558" s="194"/>
      <c r="D558" s="194"/>
      <c r="E558" s="194"/>
      <c r="F558" s="194"/>
      <c r="G558" s="202"/>
      <c r="H558" s="194"/>
      <c r="I558" s="194"/>
      <c r="J558" s="194"/>
      <c r="K558" s="194"/>
      <c r="L558" s="205"/>
      <c r="M558" s="194"/>
      <c r="N558" s="194"/>
      <c r="O558" s="194"/>
      <c r="P558" s="194"/>
      <c r="Q558" s="194"/>
      <c r="R558" s="194"/>
    </row>
    <row r="559" ht="16.8" customHeight="1" spans="1:18" x14ac:dyDescent="0.25">
      <c r="A559" s="194"/>
      <c r="B559" s="194"/>
      <c r="C559" s="194"/>
      <c r="D559" s="194"/>
      <c r="E559" s="194"/>
      <c r="F559" s="194"/>
      <c r="G559" s="202"/>
      <c r="H559" s="194"/>
      <c r="I559" s="194"/>
      <c r="J559" s="194"/>
      <c r="K559" s="194"/>
      <c r="L559" s="205"/>
      <c r="M559" s="194"/>
      <c r="N559" s="194"/>
      <c r="O559" s="194"/>
      <c r="P559" s="194"/>
      <c r="Q559" s="194"/>
      <c r="R559" s="194"/>
    </row>
    <row r="560" ht="16.8" customHeight="1" spans="1:18" x14ac:dyDescent="0.25">
      <c r="A560" s="194"/>
      <c r="B560" s="194"/>
      <c r="C560" s="194"/>
      <c r="D560" s="194"/>
      <c r="E560" s="194"/>
      <c r="F560" s="194"/>
      <c r="G560" s="202"/>
      <c r="H560" s="194"/>
      <c r="I560" s="194"/>
      <c r="J560" s="194"/>
      <c r="K560" s="194"/>
      <c r="L560" s="205"/>
      <c r="M560" s="194"/>
      <c r="N560" s="194"/>
      <c r="O560" s="194"/>
      <c r="P560" s="194"/>
      <c r="Q560" s="194"/>
      <c r="R560" s="194"/>
    </row>
    <row r="561" ht="16.8" customHeight="1" spans="1:18" x14ac:dyDescent="0.25">
      <c r="A561" s="194"/>
      <c r="B561" s="194"/>
      <c r="C561" s="194"/>
      <c r="D561" s="194"/>
      <c r="E561" s="194"/>
      <c r="F561" s="194"/>
      <c r="G561" s="202"/>
      <c r="H561" s="194"/>
      <c r="I561" s="194"/>
      <c r="J561" s="194"/>
      <c r="K561" s="194"/>
      <c r="L561" s="205"/>
      <c r="M561" s="194"/>
      <c r="N561" s="194"/>
      <c r="O561" s="194"/>
      <c r="P561" s="194"/>
      <c r="Q561" s="194"/>
      <c r="R561" s="194"/>
    </row>
    <row r="562" ht="16.8" customHeight="1" spans="1:18" x14ac:dyDescent="0.25">
      <c r="A562" s="194"/>
      <c r="B562" s="194"/>
      <c r="C562" s="194"/>
      <c r="D562" s="194"/>
      <c r="E562" s="194"/>
      <c r="F562" s="194"/>
      <c r="G562" s="202"/>
      <c r="H562" s="194"/>
      <c r="I562" s="194"/>
      <c r="J562" s="194"/>
      <c r="K562" s="194"/>
      <c r="L562" s="205"/>
      <c r="M562" s="194"/>
      <c r="N562" s="194"/>
      <c r="O562" s="194"/>
      <c r="P562" s="194"/>
      <c r="Q562" s="194"/>
      <c r="R562" s="194"/>
    </row>
    <row r="563" ht="16.8" customHeight="1" spans="1:18" x14ac:dyDescent="0.25">
      <c r="A563" s="194"/>
      <c r="B563" s="194"/>
      <c r="C563" s="194"/>
      <c r="D563" s="194"/>
      <c r="E563" s="194"/>
      <c r="F563" s="194"/>
      <c r="G563" s="202"/>
      <c r="H563" s="194"/>
      <c r="I563" s="194"/>
      <c r="J563" s="194"/>
      <c r="K563" s="194"/>
      <c r="L563" s="205"/>
      <c r="M563" s="194"/>
      <c r="N563" s="194"/>
      <c r="O563" s="194"/>
      <c r="P563" s="194"/>
      <c r="Q563" s="194"/>
      <c r="R563" s="194"/>
    </row>
    <row r="564" ht="16.8" customHeight="1" spans="1:18" x14ac:dyDescent="0.25">
      <c r="A564" s="194"/>
      <c r="B564" s="194"/>
      <c r="C564" s="194"/>
      <c r="D564" s="194"/>
      <c r="E564" s="194"/>
      <c r="F564" s="194"/>
      <c r="G564" s="202"/>
      <c r="H564" s="194"/>
      <c r="I564" s="194"/>
      <c r="J564" s="194"/>
      <c r="K564" s="194"/>
      <c r="L564" s="205"/>
      <c r="M564" s="194"/>
      <c r="N564" s="194"/>
      <c r="O564" s="194"/>
      <c r="P564" s="194"/>
      <c r="Q564" s="194"/>
      <c r="R564" s="194"/>
    </row>
    <row r="565" ht="16.8" customHeight="1" spans="1:18" x14ac:dyDescent="0.25">
      <c r="A565" s="194"/>
      <c r="B565" s="194"/>
      <c r="C565" s="194"/>
      <c r="D565" s="194"/>
      <c r="E565" s="194"/>
      <c r="F565" s="194"/>
      <c r="G565" s="202"/>
      <c r="H565" s="194"/>
      <c r="I565" s="194"/>
      <c r="J565" s="194"/>
      <c r="K565" s="194"/>
      <c r="L565" s="205"/>
      <c r="M565" s="194"/>
      <c r="N565" s="194"/>
      <c r="O565" s="194"/>
      <c r="P565" s="194"/>
      <c r="Q565" s="194"/>
      <c r="R565" s="194"/>
    </row>
    <row r="566" ht="16.8" customHeight="1" spans="1:18" x14ac:dyDescent="0.25">
      <c r="A566" s="194"/>
      <c r="B566" s="194"/>
      <c r="C566" s="194"/>
      <c r="D566" s="194"/>
      <c r="E566" s="194"/>
      <c r="F566" s="194"/>
      <c r="G566" s="202"/>
      <c r="H566" s="194"/>
      <c r="I566" s="194"/>
      <c r="J566" s="194"/>
      <c r="K566" s="194"/>
      <c r="L566" s="205"/>
      <c r="M566" s="194"/>
      <c r="N566" s="194"/>
      <c r="O566" s="194"/>
      <c r="P566" s="194"/>
      <c r="Q566" s="194"/>
      <c r="R566" s="194"/>
    </row>
    <row r="567" ht="16.8" customHeight="1" spans="1:18" x14ac:dyDescent="0.25">
      <c r="A567" s="194"/>
      <c r="B567" s="194"/>
      <c r="C567" s="194"/>
      <c r="D567" s="194"/>
      <c r="E567" s="194"/>
      <c r="F567" s="194"/>
      <c r="G567" s="202"/>
      <c r="H567" s="194"/>
      <c r="I567" s="194"/>
      <c r="J567" s="194"/>
      <c r="K567" s="194"/>
      <c r="L567" s="205"/>
      <c r="M567" s="194"/>
      <c r="N567" s="194"/>
      <c r="O567" s="194"/>
      <c r="P567" s="194"/>
      <c r="Q567" s="194"/>
      <c r="R567" s="194"/>
    </row>
    <row r="568" ht="16.8" customHeight="1" spans="1:18" x14ac:dyDescent="0.25">
      <c r="A568" s="194"/>
      <c r="B568" s="194"/>
      <c r="C568" s="194"/>
      <c r="D568" s="194"/>
      <c r="E568" s="194"/>
      <c r="F568" s="194"/>
      <c r="G568" s="202"/>
      <c r="H568" s="194"/>
      <c r="I568" s="194"/>
      <c r="J568" s="194"/>
      <c r="K568" s="194"/>
      <c r="L568" s="205"/>
      <c r="M568" s="194"/>
      <c r="N568" s="194"/>
      <c r="O568" s="194"/>
      <c r="P568" s="194"/>
      <c r="Q568" s="194"/>
      <c r="R568" s="194"/>
    </row>
  </sheetData>
  <conditionalFormatting sqref="A2:N568">
    <cfRule type="expression" dxfId="0" priority="1">
      <formula>MOD(ROW(),2)=0</formula>
    </cfRule>
  </conditionalFormatting>
  <conditionalFormatting sqref="L2:L568">
    <cfRule type="dataBar" priority="31">
      <dataBar>
        <cfvo type="min"/>
        <cfvo type="max"/>
        <color rgb="FF1B2A4A"/>
      </dataBar>
      <extLst>
        <ext xmlns:x14="http://schemas.microsoft.com/office/spreadsheetml/2009/9/main" uri="{B025F937-C7B1-47D3-B67F-A62EFF666E3E}">
          <x14:id>{A33C1B74-7A16-48E7-B94E-A237048C6C84}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3C1B74-7A16-48E7-B94E-A237048C6C84}">
            <x14:dataBar minLength="0" maxLength="100" border="1" gradient="0" axisPosition="none">
              <x14:cfvo type="min"/>
              <x14:cfvo type="max"/>
              <x14:borderColor rgb="FF1B2A4A"/>
            </x14:dataBar>
          </x14:cfRule>
          <xm:sqref>L2:L568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AB60"/>
  <sheetViews>
    <sheetView workbookViewId="0" showGridLines="0" zoomScale="100" zoomScaleNormal="100">
      <pane ySplit="12" topLeftCell="A13" activePane="bottomLeft" state="frozen"/>
      <selection pane="bottomLeft" activeCell="I6" sqref="I6"/>
    </sheetView>
  </sheetViews>
  <sheetFormatPr defaultRowHeight="14.4" outlineLevelRow="0" outlineLevelCol="0" x14ac:dyDescent="0.3" customHeight="1"/>
  <cols>
    <col min="1" max="1" width="2.5546875" customWidth="1"/>
    <col min="2" max="2" width="9.109375" customWidth="1"/>
    <col min="3" max="3" width="36.77734375" customWidth="1"/>
    <col min="4" max="4" width="13.88671875" customWidth="1"/>
    <col min="5" max="6" width="15.33203125" customWidth="1"/>
    <col min="7" max="7" width="16.6640625" customWidth="1"/>
    <col min="8" max="8" width="20.88671875" customWidth="1"/>
    <col min="9" max="9" width="18.109375" customWidth="1"/>
    <col min="10" max="10" width="16.6640625" customWidth="1"/>
    <col min="11" max="11" width="2.5546875" customWidth="1"/>
  </cols>
  <sheetData>
    <row r="1" ht="15" customHeight="1" spans="1:28" x14ac:dyDescent="0.25">
      <c r="A1" s="1" t="s">
        <v>0</v>
      </c>
      <c r="B1" s="2" t="s">
        <v>1</v>
      </c>
      <c r="C1" s="3"/>
      <c r="D1" s="3"/>
      <c r="E1" s="3"/>
      <c r="F1" s="3"/>
      <c r="G1" s="3"/>
      <c r="H1" s="4" t="s">
        <v>2</v>
      </c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22.5" customHeight="1" spans="1:28" x14ac:dyDescent="0.25">
      <c r="A2" s="3"/>
      <c r="B2" s="7" t="s">
        <v>3</v>
      </c>
      <c r="C2" s="8"/>
      <c r="D2" s="8"/>
      <c r="E2" s="8"/>
      <c r="F2" s="8"/>
      <c r="G2" s="8"/>
      <c r="H2" s="8"/>
      <c r="I2" s="8"/>
      <c r="J2" s="8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6.05" customHeight="1" spans="1:28" x14ac:dyDescent="0.25">
      <c r="A3" s="3"/>
      <c r="B3" s="9" t="s">
        <v>4</v>
      </c>
      <c r="C3" s="3"/>
      <c r="D3" s="3"/>
      <c r="E3" s="3"/>
      <c r="F3" s="9" t="s">
        <v>5</v>
      </c>
      <c r="G3" s="3"/>
      <c r="H3" s="3"/>
      <c r="I3" s="3"/>
      <c r="J3" s="3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8" customHeight="1" spans="1:28" x14ac:dyDescent="0.25">
      <c r="A4" s="3"/>
      <c r="B4" s="10" t="s">
        <v>6</v>
      </c>
      <c r="C4" s="11"/>
      <c r="D4" s="12">
        <v>15</v>
      </c>
      <c r="E4" s="13"/>
      <c r="F4" s="14"/>
      <c r="G4" s="15"/>
      <c r="H4" s="15"/>
      <c r="I4" s="15"/>
      <c r="J4" s="1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9.95" customHeight="1" spans="1:28" x14ac:dyDescent="0.25">
      <c r="A5" s="3"/>
      <c r="B5" s="17" t="s">
        <v>7</v>
      </c>
      <c r="C5" s="18"/>
      <c r="D5" s="19">
        <v>46267</v>
      </c>
      <c r="E5" s="20"/>
      <c r="F5" s="21" t="s">
        <v>8</v>
      </c>
      <c r="G5" s="22"/>
      <c r="H5" s="22"/>
      <c r="I5" s="23">
        <f>$H$25</f>
        <v>1272188</v>
      </c>
      <c r="J5" s="2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9.95" customHeight="1" spans="1:28" x14ac:dyDescent="0.25">
      <c r="A6" s="3"/>
      <c r="B6" s="17" t="s">
        <v>9</v>
      </c>
      <c r="C6" s="18"/>
      <c r="D6" s="25" t="s">
        <v>10</v>
      </c>
      <c r="E6" s="20"/>
      <c r="F6" s="21" t="s">
        <v>11</v>
      </c>
      <c r="G6" s="22"/>
      <c r="H6" s="22"/>
      <c r="I6" s="26">
        <f>$I$25</f>
        <v>4452.657999999999</v>
      </c>
      <c r="J6" s="2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9.95" customHeight="1" spans="1:28" x14ac:dyDescent="0.25">
      <c r="A7" s="3"/>
      <c r="B7" s="17" t="s">
        <v>12</v>
      </c>
      <c r="C7" s="18"/>
      <c r="D7" s="25" t="s">
        <v>13</v>
      </c>
      <c r="E7" s="20"/>
      <c r="F7" s="21" t="s">
        <v>14</v>
      </c>
      <c r="G7" s="22"/>
      <c r="H7" s="22"/>
      <c r="I7" s="23">
        <f>$D$25</f>
        <v>200</v>
      </c>
      <c r="J7" s="2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9.95" customHeight="1" spans="1:28" x14ac:dyDescent="0.25">
      <c r="A8" s="3"/>
      <c r="B8" s="17" t="s">
        <v>15</v>
      </c>
      <c r="C8" s="18"/>
      <c r="D8" s="25"/>
      <c r="E8" s="20"/>
      <c r="F8" s="21"/>
      <c r="G8" s="22"/>
      <c r="H8" s="22"/>
      <c r="I8" s="23"/>
      <c r="J8" s="2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8" customHeight="1" spans="1:28" x14ac:dyDescent="0.25">
      <c r="A9" s="3"/>
      <c r="B9" s="27" t="s">
        <v>16</v>
      </c>
      <c r="C9" s="28"/>
      <c r="D9" s="29" t="s">
        <v>17</v>
      </c>
      <c r="E9" s="30"/>
      <c r="F9" s="31"/>
      <c r="G9" s="28"/>
      <c r="H9" s="28"/>
      <c r="I9" s="32"/>
      <c r="J9" s="33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9" customHeight="1" spans="1:28" x14ac:dyDescent="0.25">
      <c r="A10" s="3"/>
      <c r="B10" s="3"/>
      <c r="C10" s="3"/>
      <c r="D10" s="3"/>
      <c r="E10" s="3"/>
      <c r="F10" s="3"/>
      <c r="G10" s="3"/>
      <c r="H10" s="3"/>
      <c r="I10" s="3"/>
      <c r="J10" s="3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6.05" customHeight="1" spans="1:28" x14ac:dyDescent="0.25">
      <c r="A11" s="3"/>
      <c r="B11" s="35" t="s">
        <v>18</v>
      </c>
      <c r="C11" s="36"/>
      <c r="D11" s="36"/>
      <c r="E11" s="36"/>
      <c r="F11" s="36"/>
      <c r="G11" s="36"/>
      <c r="H11" s="37"/>
      <c r="I11" s="37"/>
      <c r="J11" s="38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9.5" customHeight="1" spans="1:28" x14ac:dyDescent="0.25">
      <c r="A12" s="3"/>
      <c r="B12" s="39" t="s">
        <v>19</v>
      </c>
      <c r="C12" s="40" t="s">
        <v>20</v>
      </c>
      <c r="D12" s="40" t="s">
        <v>21</v>
      </c>
      <c r="E12" s="40" t="s">
        <v>22</v>
      </c>
      <c r="F12" s="40" t="s">
        <v>23</v>
      </c>
      <c r="G12" s="40" t="s">
        <v>24</v>
      </c>
      <c r="H12" s="40" t="s">
        <v>25</v>
      </c>
      <c r="I12" s="40" t="s">
        <v>11</v>
      </c>
      <c r="J12" s="41" t="s">
        <v>26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8" customHeight="1" spans="1:28" x14ac:dyDescent="0.25">
      <c r="A13" s="3"/>
      <c r="B13" s="42">
        <v>1</v>
      </c>
      <c r="C13" s="43" t="s">
        <v>27</v>
      </c>
      <c r="D13" s="44">
        <v>30</v>
      </c>
      <c r="E13" s="45">
        <f>IFERROR(INDEX(Products!$E$4:$E$500,MATCH($C13,Products!$B$4:$B$500,0)),"")</f>
        <v>25</v>
      </c>
      <c r="F13" s="46">
        <v>8000</v>
      </c>
      <c r="G13" s="47">
        <f>IF(OR($C13="",$F13=""),"",$F13/40*$E13)</f>
        <v>5000</v>
      </c>
      <c r="H13" s="48">
        <f>IF(OR($G13="",$D13=""),"",ROUND($G13*$D13,0))</f>
        <v>150000</v>
      </c>
      <c r="I13" s="47">
        <f>IF($H13="","",$H13*IFERROR(INDEX(Products!$I$4:$I$500,MATCH($C13,Products!$B$4:$B$500,0)),frmCommRate))</f>
        <v>525</v>
      </c>
      <c r="J13" s="49">
        <f>IF($C13="","",$D13*$E13)</f>
        <v>750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8" customHeight="1" spans="1:28" x14ac:dyDescent="0.25">
      <c r="A14" s="3"/>
      <c r="B14" s="50">
        <v>2</v>
      </c>
      <c r="C14" s="51" t="s">
        <v>28</v>
      </c>
      <c r="D14" s="52">
        <v>20</v>
      </c>
      <c r="E14" s="45">
        <f>IFERROR(INDEX(Products!$E$4:$E$500,MATCH($C14,Products!$B$4:$B$500,0)),"")</f>
        <v>25</v>
      </c>
      <c r="F14" s="53">
        <v>16250</v>
      </c>
      <c r="G14" s="54">
        <f>IF(OR($C14="",$F14=""),"",$F14/40*$E14)</f>
        <v>10156.25</v>
      </c>
      <c r="H14" s="55">
        <f t="shared" ref="H14:H24" si="0">IF(OR($G14="",$D14=""),"",ROUND($G14*$D14,0))</f>
        <v>203125</v>
      </c>
      <c r="I14" s="54">
        <f>IF($H14="","",$H14*IFERROR(INDEX(Products!$I$4:$I$500,MATCH($C14,Products!$B$4:$B$500,0)),frmCommRate))</f>
        <v>710.9375</v>
      </c>
      <c r="J14" s="56">
        <f>IF($C14="","",$D14*$E14)</f>
        <v>500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8" customHeight="1" spans="1:28" x14ac:dyDescent="0.25">
      <c r="A15" s="3"/>
      <c r="B15" s="57">
        <v>3</v>
      </c>
      <c r="C15" s="58" t="s">
        <v>29</v>
      </c>
      <c r="D15" s="59">
        <v>30</v>
      </c>
      <c r="E15" s="45">
        <f>IFERROR(INDEX(Products!$E$4:$E$500,MATCH($C15,Products!$B$4:$B$500,0)),"")</f>
        <v>25</v>
      </c>
      <c r="F15" s="60">
        <v>10250</v>
      </c>
      <c r="G15" s="61">
        <f t="shared" ref="G15:G24" si="1">IF(OR($C15="",$F15=""),"",$F15/40*$E15)</f>
        <v>6406.25</v>
      </c>
      <c r="H15" s="62">
        <f t="shared" si="0"/>
        <v>192188</v>
      </c>
      <c r="I15" s="61">
        <f>IF($H15="","",$H15*IFERROR(INDEX(Products!$I$4:$I$500,MATCH($C15,Products!$B$4:$B$500,0)),frmCommRate))</f>
        <v>672.658</v>
      </c>
      <c r="J15" s="63">
        <f t="shared" ref="J15:J24" si="2">IF($C15="","",$D15*$E15)</f>
        <v>750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8" customHeight="1" spans="1:28" x14ac:dyDescent="0.25">
      <c r="A16" s="3"/>
      <c r="B16" s="50">
        <v>4</v>
      </c>
      <c r="C16" s="51" t="s">
        <v>30</v>
      </c>
      <c r="D16" s="52">
        <v>20</v>
      </c>
      <c r="E16" s="64">
        <f>IFERROR(INDEX(Products!$E$4:$E$500,MATCH($C16,Products!$B$4:$B$500,0)),"")</f>
        <v>25</v>
      </c>
      <c r="F16" s="53">
        <v>8400</v>
      </c>
      <c r="G16" s="54">
        <f t="shared" si="1"/>
        <v>5250</v>
      </c>
      <c r="H16" s="55">
        <f t="shared" si="0"/>
        <v>105000</v>
      </c>
      <c r="I16" s="54">
        <f>IF($H16="","",$H16*IFERROR(INDEX(Products!$I$4:$I$500,MATCH($C16,Products!$B$4:$B$500,0)),frmCommRate))</f>
        <v>367.5</v>
      </c>
      <c r="J16" s="56">
        <f t="shared" si="2"/>
        <v>500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8" customHeight="1" spans="1:28" x14ac:dyDescent="0.25">
      <c r="A17" s="3"/>
      <c r="B17" s="57">
        <v>5</v>
      </c>
      <c r="C17" s="58" t="s">
        <v>31</v>
      </c>
      <c r="D17" s="59">
        <v>100</v>
      </c>
      <c r="E17" s="45">
        <f>IFERROR(INDEX(Products!$E$4:$E$500,MATCH($C17,Products!$B$4:$B$500,0)),"")</f>
        <v>25</v>
      </c>
      <c r="F17" s="60">
        <v>9950</v>
      </c>
      <c r="G17" s="61">
        <f t="shared" si="1"/>
        <v>6218.75</v>
      </c>
      <c r="H17" s="62">
        <f t="shared" si="0"/>
        <v>621875</v>
      </c>
      <c r="I17" s="61">
        <f>IF($H17="","",$H17*IFERROR(INDEX(Products!$I$4:$I$500,MATCH($C17,Products!$B$4:$B$500,0)),frmCommRate))</f>
        <v>2176.5625</v>
      </c>
      <c r="J17" s="63">
        <f t="shared" si="2"/>
        <v>2500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8" customHeight="1" spans="1:28" x14ac:dyDescent="0.25">
      <c r="A18" s="3"/>
      <c r="B18" s="50">
        <v>6</v>
      </c>
      <c r="C18" s="51"/>
      <c r="D18" s="52"/>
      <c r="E18" s="64">
        <f>IFERROR(INDEX(Products!$E$4:$E$500,MATCH($C18,Products!$B$4:$B$500,0)),"")</f>
      </c>
      <c r="F18" s="53"/>
      <c r="G18" s="54">
        <f t="shared" si="1"/>
      </c>
      <c r="H18" s="55">
        <f t="shared" si="0"/>
      </c>
      <c r="I18" s="54">
        <f>IF($H18="","",$H18*IFERROR(INDEX(Products!$I$4:$I$500,MATCH($C18,Products!$B$4:$B$500,0)),frmCommRate))</f>
      </c>
      <c r="J18" s="56">
        <f t="shared" si="2"/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8" customHeight="1" spans="1:28" x14ac:dyDescent="0.25">
      <c r="A19" s="3"/>
      <c r="B19" s="57">
        <v>7</v>
      </c>
      <c r="C19" s="58"/>
      <c r="D19" s="59"/>
      <c r="E19" s="45">
        <f>IFERROR(INDEX(Products!$E$4:$E$500,MATCH($C19,Products!$B$4:$B$500,0)),"")</f>
      </c>
      <c r="F19" s="60"/>
      <c r="G19" s="61">
        <f t="shared" si="1"/>
      </c>
      <c r="H19" s="62">
        <f t="shared" si="0"/>
      </c>
      <c r="I19" s="61">
        <f>IF($H19="","",$H19*IFERROR(INDEX(Products!$I$4:$I$500,MATCH($C19,Products!$B$4:$B$500,0)),frmCommRate))</f>
      </c>
      <c r="J19" s="63">
        <f t="shared" si="2"/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8" customHeight="1" spans="1:28" x14ac:dyDescent="0.25">
      <c r="A20" s="3"/>
      <c r="B20" s="50">
        <v>8</v>
      </c>
      <c r="C20" s="51"/>
      <c r="D20" s="52"/>
      <c r="E20" s="64">
        <f>IFERROR(INDEX(Products!$E$4:$E$500,MATCH($C20,Products!$B$4:$B$500,0)),"")</f>
      </c>
      <c r="F20" s="53"/>
      <c r="G20" s="54">
        <f t="shared" si="1"/>
      </c>
      <c r="H20" s="55">
        <f t="shared" si="0"/>
      </c>
      <c r="I20" s="54">
        <f>IF($H20="","",$H20*IFERROR(INDEX(Products!$I$4:$I$500,MATCH($C20,Products!$B$4:$B$500,0)),frmCommRate))</f>
      </c>
      <c r="J20" s="56">
        <f t="shared" si="2"/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8" customHeight="1" spans="1:28" x14ac:dyDescent="0.25">
      <c r="A21" s="3"/>
      <c r="B21" s="57">
        <v>9</v>
      </c>
      <c r="C21" s="58"/>
      <c r="D21" s="59"/>
      <c r="E21" s="45">
        <f>IFERROR(INDEX(Products!$E$4:$E$500,MATCH($C21,Products!$B$4:$B$500,0)),"")</f>
      </c>
      <c r="F21" s="60"/>
      <c r="G21" s="61">
        <f t="shared" si="1"/>
      </c>
      <c r="H21" s="62">
        <f t="shared" si="0"/>
      </c>
      <c r="I21" s="61">
        <f>IF($H21="","",$H21*IFERROR(INDEX(Products!$I$4:$I$500,MATCH($C21,Products!$B$4:$B$500,0)),frmCommRate))</f>
      </c>
      <c r="J21" s="63">
        <f t="shared" si="2"/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8" customHeight="1" spans="1:28" x14ac:dyDescent="0.25">
      <c r="A22" s="3"/>
      <c r="B22" s="50">
        <v>10</v>
      </c>
      <c r="C22" s="51"/>
      <c r="D22" s="52"/>
      <c r="E22" s="64">
        <f>IFERROR(INDEX(Products!$E$4:$E$500,MATCH($C22,Products!$B$4:$B$500,0)),"")</f>
      </c>
      <c r="F22" s="53"/>
      <c r="G22" s="54">
        <f t="shared" si="1"/>
      </c>
      <c r="H22" s="55">
        <f t="shared" si="0"/>
      </c>
      <c r="I22" s="54">
        <f>IF($H22="","",$H22*IFERROR(INDEX(Products!$I$4:$I$500,MATCH($C22,Products!$B$4:$B$500,0)),frmCommRate))</f>
      </c>
      <c r="J22" s="56">
        <f t="shared" si="2"/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8" customHeight="1" spans="1:28" x14ac:dyDescent="0.25">
      <c r="A23" s="3"/>
      <c r="B23" s="57">
        <v>11</v>
      </c>
      <c r="C23" s="58"/>
      <c r="D23" s="59"/>
      <c r="E23" s="45">
        <f>IFERROR(INDEX(Products!$E$4:$E$500,MATCH($C23,Products!$B$4:$B$500,0)),"")</f>
      </c>
      <c r="F23" s="60"/>
      <c r="G23" s="61">
        <f t="shared" si="1"/>
      </c>
      <c r="H23" s="62">
        <f t="shared" si="0"/>
      </c>
      <c r="I23" s="61">
        <f>IF($H23="","",$H23*IFERROR(INDEX(Products!$I$4:$I$500,MATCH($C23,Products!$B$4:$B$500,0)),frmCommRate))</f>
      </c>
      <c r="J23" s="63">
        <f t="shared" si="2"/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8" customHeight="1" spans="1:28" x14ac:dyDescent="0.25">
      <c r="A24" s="3"/>
      <c r="B24" s="65">
        <v>12</v>
      </c>
      <c r="C24" s="66"/>
      <c r="D24" s="67"/>
      <c r="E24" s="68">
        <f>IFERROR(INDEX(Products!$E$4:$E$500,MATCH($C24,Products!$B$4:$B$500,0)),"")</f>
      </c>
      <c r="F24" s="69"/>
      <c r="G24" s="70">
        <f t="shared" si="1"/>
      </c>
      <c r="H24" s="71">
        <f t="shared" si="0"/>
      </c>
      <c r="I24" s="70">
        <f>IF($H24="","",$H24*IFERROR(INDEX(Products!$I$4:$I$500,MATCH($C24,Products!$B$4:$B$500,0)),frmCommRate))</f>
      </c>
      <c r="J24" s="72">
        <f t="shared" si="2"/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21" customHeight="1" spans="1:28" x14ac:dyDescent="0.25">
      <c r="A25" s="3"/>
      <c r="B25" s="73"/>
      <c r="C25" s="74" t="s">
        <v>32</v>
      </c>
      <c r="D25" s="75">
        <f>SUM($D$13:$D$24)</f>
        <v>200</v>
      </c>
      <c r="E25" s="75"/>
      <c r="F25" s="76"/>
      <c r="G25" s="76"/>
      <c r="H25" s="75">
        <f>SUM($H$13:$H$24)</f>
        <v>1272188</v>
      </c>
      <c r="I25" s="76">
        <f>SUM($I$13:$I$24)</f>
        <v>4452.657999999999</v>
      </c>
      <c r="J25" s="77">
        <f>SUM($J$13:$J$24)</f>
        <v>5000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9" customHeight="1" spans="1:2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9" customHeight="1" spans="1:28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24" customHeight="1" spans="1:28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22.5" customHeight="1" spans="1:28" x14ac:dyDescent="0.25">
      <c r="A29" s="3"/>
      <c r="B29" s="78" t="s">
        <v>33</v>
      </c>
      <c r="C29" s="79"/>
      <c r="D29" s="79"/>
      <c r="E29" s="79"/>
      <c r="F29" s="79"/>
      <c r="G29" s="79"/>
      <c r="H29" s="79"/>
      <c r="I29" s="79"/>
      <c r="J29" s="80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7.95" customHeight="1" spans="1:28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7.95" customHeight="1" spans="1:28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7.95" customHeight="1" spans="1:28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7.95" customHeight="1" spans="1:28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8" customHeight="1" spans="1:28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8" customHeight="1" spans="1:28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8" customHeight="1" spans="1:28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8" customHeight="1" spans="1:28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8" customHeight="1" spans="1:28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8" customHeight="1" spans="1:28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8" customHeight="1" spans="1:28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9.95" customHeight="1" spans="1:28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" customHeight="1" spans="1:28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" customHeight="1" spans="1:28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" customHeight="1" spans="1:28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" customHeight="1" spans="1:28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" customHeight="1" spans="1:28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" customHeight="1" spans="1:28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" customHeight="1" spans="1:28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" customHeight="1" spans="1:28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" customHeight="1" spans="1:28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" customHeight="1" spans="1:28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" customHeight="1" spans="1:28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" customHeight="1" spans="1:28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" customHeight="1" spans="1:28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" customHeight="1" spans="1:28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" customHeight="1" spans="1:28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" customHeight="1" spans="1:28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" customHeight="1" spans="1:28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" customHeight="1" spans="1:28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" customHeight="1" spans="1:28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</sheetData>
  <mergeCells count="21">
    <mergeCell ref="H1:J1"/>
    <mergeCell ref="B2:I2"/>
    <mergeCell ref="B4:C4"/>
    <mergeCell ref="D4:E4"/>
    <mergeCell ref="B5:C5"/>
    <mergeCell ref="D5:E5"/>
    <mergeCell ref="F5:H5"/>
    <mergeCell ref="B6:C6"/>
    <mergeCell ref="D6:E6"/>
    <mergeCell ref="F6:H6"/>
    <mergeCell ref="B7:C7"/>
    <mergeCell ref="D7:E7"/>
    <mergeCell ref="F7:H7"/>
    <mergeCell ref="B8:C8"/>
    <mergeCell ref="D8:E8"/>
    <mergeCell ref="F8:H8"/>
    <mergeCell ref="B9:C9"/>
    <mergeCell ref="D9:E9"/>
    <mergeCell ref="F9:H9"/>
    <mergeCell ref="H11:I11"/>
    <mergeCell ref="B29:J29"/>
  </mergeCells>
  <conditionalFormatting sqref="H13:H24">
    <cfRule type="dataBar" priority="1">
      <dataBar>
        <cfvo type="min"/>
        <cfvo type="max"/>
        <color rgb="FF1D4ED8"/>
      </dataBar>
      <extLst>
        <ext xmlns:x14="http://schemas.microsoft.com/office/spreadsheetml/2009/9/main" uri="{B025F937-C7B1-47D3-B67F-A62EFF666E3E}">
          <x14:id>{4B993C12-E107-4D61-91EC-675C0D868A59}</x14:id>
        </ext>
      </extLst>
    </cfRule>
  </conditionalFormatting>
  <dataValidations count="5">
    <dataValidation type="list" allowBlank="1" promptTitle="Product" prompt="Pick from Products" errorStyle="warning" errorTitle="Product" error="Pick from Products" sqref="C13:C24">
      <formula1>lstProduct</formula1>
    </dataValidation>
    <dataValidation type="list" allowBlank="1" promptTitle="Party" prompt="Pick from Lists" errorStyle="warning" errorTitle="Party" error="Pick from Lists" sqref="D6">
      <formula1>lstParty</formula1>
    </dataValidation>
    <dataValidation type="list" allowBlank="1" promptTitle="City" prompt="Pick from Lists" errorStyle="warning" errorTitle="City" error="Pick from Lists" sqref="D7">
      <formula1>lstCity</formula1>
    </dataValidation>
    <dataValidation type="list" allowBlank="1" promptTitle="Sub Party" prompt="Pick from Lists" errorStyle="warning" errorTitle="Sub Party" error="Pick from Lists" sqref="D8">
      <formula1>lstSubParty</formula1>
    </dataValidation>
    <dataValidation type="list" allowBlank="1" promptTitle="ASM" prompt="Pick from Lists" errorStyle="warning" errorTitle="ASM" error="Pick from Lists" sqref="D9">
      <formula1>lstASM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993C12-E107-4D61-91EC-675C0D868A59}">
            <x14:dataBar minLength="0" maxLength="100" border="1" gradient="0" axisPosition="none">
              <x14:cfvo type="min"/>
              <x14:cfvo type="max"/>
              <x14:borderColor rgb="FF1D4ED8"/>
            </x14:dataBar>
          </x14:cfRule>
          <xm:sqref>H13:H24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3A3A"/>
  </sheetPr>
  <dimension ref="A1:B346"/>
  <sheetViews>
    <sheetView workbookViewId="0" showGridLines="0" zoomScale="100" zoomScaleNormal="100">
      <selection activeCell="A305" sqref="A305"/>
    </sheetView>
  </sheetViews>
  <sheetFormatPr defaultRowHeight="14.4" outlineLevelRow="0" outlineLevelCol="0" x14ac:dyDescent="0.3" customHeight="1"/>
  <cols>
    <col min="1" max="1" width="129.6640625" customWidth="1"/>
  </cols>
  <sheetData>
    <row r="1" ht="30" customHeight="1" spans="1:2" x14ac:dyDescent="0.25">
      <c r="A1" s="273" t="s">
        <v>240</v>
      </c>
      <c r="B1" s="3"/>
    </row>
    <row r="2" ht="15" customHeight="1" spans="1:2" x14ac:dyDescent="0.25">
      <c r="A2" s="274"/>
      <c r="B2" s="3"/>
    </row>
    <row r="3" ht="15" customHeight="1" spans="1:2" x14ac:dyDescent="0.25">
      <c r="A3" s="274" t="s">
        <v>241</v>
      </c>
      <c r="B3" s="3"/>
    </row>
    <row r="4" ht="15" customHeight="1" spans="1:2" x14ac:dyDescent="0.25">
      <c r="A4" s="274" t="s">
        <v>242</v>
      </c>
      <c r="B4" s="3"/>
    </row>
    <row r="5" ht="15" customHeight="1" spans="1:2" x14ac:dyDescent="0.25">
      <c r="A5" s="274"/>
      <c r="B5" s="3"/>
    </row>
    <row r="6" ht="15" customHeight="1" spans="1:2" x14ac:dyDescent="0.25">
      <c r="A6" s="274" t="s">
        <v>243</v>
      </c>
      <c r="B6" s="3"/>
    </row>
    <row r="7" ht="15" customHeight="1" spans="1:2" x14ac:dyDescent="0.25">
      <c r="A7" s="274" t="s">
        <v>244</v>
      </c>
      <c r="B7" s="3"/>
    </row>
    <row r="8" ht="15" customHeight="1" spans="1:2" x14ac:dyDescent="0.25">
      <c r="A8" s="274"/>
      <c r="B8" s="3"/>
    </row>
    <row r="9" ht="15" customHeight="1" spans="1:2" x14ac:dyDescent="0.25">
      <c r="A9" s="274" t="s">
        <v>245</v>
      </c>
      <c r="B9" s="3"/>
    </row>
    <row r="10" ht="15" customHeight="1" spans="1:2" x14ac:dyDescent="0.25">
      <c r="A10" s="274"/>
      <c r="B10" s="3"/>
    </row>
    <row r="11" ht="15" customHeight="1" spans="1:2" x14ac:dyDescent="0.25">
      <c r="A11" s="274" t="s">
        <v>246</v>
      </c>
      <c r="B11" s="3"/>
    </row>
    <row r="12" ht="15" customHeight="1" spans="1:2" x14ac:dyDescent="0.25">
      <c r="A12" s="274" t="s">
        <v>247</v>
      </c>
      <c r="B12" s="3"/>
    </row>
    <row r="13" ht="15" customHeight="1" spans="1:2" x14ac:dyDescent="0.25">
      <c r="A13" s="274" t="s">
        <v>248</v>
      </c>
      <c r="B13" s="3"/>
    </row>
    <row r="14" ht="15" customHeight="1" spans="1:2" x14ac:dyDescent="0.25">
      <c r="A14" s="274" t="s">
        <v>249</v>
      </c>
      <c r="B14" s="3"/>
    </row>
    <row r="15" ht="15" customHeight="1" spans="1:2" x14ac:dyDescent="0.25">
      <c r="A15" s="274"/>
      <c r="B15" s="3"/>
    </row>
    <row r="16" ht="15" customHeight="1" spans="1:2" x14ac:dyDescent="0.25">
      <c r="A16" s="274"/>
      <c r="B16" s="3"/>
    </row>
    <row r="17" ht="15" customHeight="1" spans="1:2" x14ac:dyDescent="0.25">
      <c r="A17" s="274" t="s">
        <v>250</v>
      </c>
      <c r="B17" s="3"/>
    </row>
    <row r="18" ht="15" customHeight="1" spans="1:2" x14ac:dyDescent="0.25">
      <c r="A18" s="274"/>
      <c r="B18" s="3"/>
    </row>
    <row r="19" ht="15" customHeight="1" spans="1:2" x14ac:dyDescent="0.25">
      <c r="A19" s="274" t="s">
        <v>251</v>
      </c>
      <c r="B19" s="3"/>
    </row>
    <row r="20" ht="15" customHeight="1" spans="1:2" x14ac:dyDescent="0.25">
      <c r="A20" s="274"/>
      <c r="B20" s="3"/>
    </row>
    <row r="21" ht="15" customHeight="1" spans="1:2" x14ac:dyDescent="0.25">
      <c r="A21" s="274" t="s">
        <v>252</v>
      </c>
      <c r="B21" s="3"/>
    </row>
    <row r="22" ht="15" customHeight="1" spans="1:2" x14ac:dyDescent="0.25">
      <c r="A22" s="274" t="s">
        <v>253</v>
      </c>
      <c r="B22" s="3"/>
    </row>
    <row r="23" ht="15" customHeight="1" spans="1:2" x14ac:dyDescent="0.25">
      <c r="A23" s="274" t="s">
        <v>254</v>
      </c>
      <c r="B23" s="3"/>
    </row>
    <row r="24" ht="15" customHeight="1" spans="1:2" x14ac:dyDescent="0.25">
      <c r="A24" s="274"/>
      <c r="B24" s="3"/>
    </row>
    <row r="25" ht="15" customHeight="1" spans="1:2" x14ac:dyDescent="0.25">
      <c r="A25" s="274" t="s">
        <v>255</v>
      </c>
      <c r="B25" s="3"/>
    </row>
    <row r="26" ht="15" customHeight="1" spans="1:2" x14ac:dyDescent="0.25">
      <c r="A26" s="274"/>
      <c r="B26" s="3"/>
    </row>
    <row r="27" ht="15" customHeight="1" spans="1:2" x14ac:dyDescent="0.25">
      <c r="A27" s="274" t="s">
        <v>256</v>
      </c>
      <c r="B27" s="3"/>
    </row>
    <row r="28" ht="15" customHeight="1" spans="1:2" x14ac:dyDescent="0.25">
      <c r="A28" s="274"/>
      <c r="B28" s="3"/>
    </row>
    <row r="29" ht="15" customHeight="1" spans="1:2" x14ac:dyDescent="0.25">
      <c r="A29" s="274" t="s">
        <v>257</v>
      </c>
      <c r="B29" s="3"/>
    </row>
    <row r="30" ht="15" customHeight="1" spans="1:2" x14ac:dyDescent="0.25">
      <c r="A30" s="274"/>
      <c r="B30" s="3"/>
    </row>
    <row r="31" ht="15" customHeight="1" spans="1:2" x14ac:dyDescent="0.25">
      <c r="A31" s="274" t="s">
        <v>258</v>
      </c>
      <c r="B31" s="3"/>
    </row>
    <row r="32" ht="15" customHeight="1" spans="1:2" x14ac:dyDescent="0.25">
      <c r="A32" s="274" t="s">
        <v>259</v>
      </c>
      <c r="B32" s="3"/>
    </row>
    <row r="33" ht="15" customHeight="1" spans="1:2" x14ac:dyDescent="0.25">
      <c r="A33" s="274"/>
      <c r="B33" s="3"/>
    </row>
    <row r="34" ht="15" customHeight="1" spans="1:2" x14ac:dyDescent="0.25">
      <c r="A34" s="274" t="s">
        <v>260</v>
      </c>
      <c r="B34" s="3"/>
    </row>
    <row r="35" ht="15" customHeight="1" spans="1:2" x14ac:dyDescent="0.25">
      <c r="A35" s="274" t="s">
        <v>261</v>
      </c>
      <c r="B35" s="3"/>
    </row>
    <row r="36" ht="15" customHeight="1" spans="1:2" x14ac:dyDescent="0.25">
      <c r="A36" s="274" t="s">
        <v>262</v>
      </c>
      <c r="B36" s="3"/>
    </row>
    <row r="37" ht="15" customHeight="1" spans="1:2" x14ac:dyDescent="0.25">
      <c r="A37" s="274" t="s">
        <v>263</v>
      </c>
      <c r="B37" s="3"/>
    </row>
    <row r="38" ht="15" customHeight="1" spans="1:2" x14ac:dyDescent="0.25">
      <c r="A38" s="274" t="s">
        <v>264</v>
      </c>
      <c r="B38" s="3"/>
    </row>
    <row r="39" ht="15" customHeight="1" spans="1:2" x14ac:dyDescent="0.25">
      <c r="A39" s="274" t="s">
        <v>265</v>
      </c>
      <c r="B39" s="3"/>
    </row>
    <row r="40" ht="15" customHeight="1" spans="1:2" x14ac:dyDescent="0.25">
      <c r="A40" s="274" t="s">
        <v>266</v>
      </c>
      <c r="B40" s="3"/>
    </row>
    <row r="41" ht="15" customHeight="1" spans="1:2" x14ac:dyDescent="0.25">
      <c r="A41" s="274" t="s">
        <v>267</v>
      </c>
      <c r="B41" s="3"/>
    </row>
    <row r="42" ht="15" customHeight="1" spans="1:2" x14ac:dyDescent="0.25">
      <c r="A42" s="274" t="s">
        <v>268</v>
      </c>
      <c r="B42" s="3"/>
    </row>
    <row r="43" ht="15" customHeight="1" spans="1:2" x14ac:dyDescent="0.25">
      <c r="A43" s="274" t="s">
        <v>269</v>
      </c>
      <c r="B43" s="3"/>
    </row>
    <row r="44" ht="15" customHeight="1" spans="1:2" x14ac:dyDescent="0.25">
      <c r="A44" s="274" t="s">
        <v>270</v>
      </c>
      <c r="B44" s="3"/>
    </row>
    <row r="45" ht="15" customHeight="1" spans="1:2" x14ac:dyDescent="0.25">
      <c r="A45" s="274" t="s">
        <v>271</v>
      </c>
      <c r="B45" s="3"/>
    </row>
    <row r="46" ht="15" customHeight="1" spans="1:2" x14ac:dyDescent="0.25">
      <c r="A46" s="274" t="s">
        <v>272</v>
      </c>
      <c r="B46" s="3"/>
    </row>
    <row r="47" ht="15" customHeight="1" spans="1:2" x14ac:dyDescent="0.25">
      <c r="A47" s="274" t="s">
        <v>273</v>
      </c>
      <c r="B47" s="3"/>
    </row>
    <row r="48" ht="15" customHeight="1" spans="1:2" x14ac:dyDescent="0.25">
      <c r="A48" s="274" t="s">
        <v>274</v>
      </c>
      <c r="B48" s="3"/>
    </row>
    <row r="49" ht="15" customHeight="1" spans="1:2" x14ac:dyDescent="0.25">
      <c r="A49" s="274" t="s">
        <v>275</v>
      </c>
      <c r="B49" s="3"/>
    </row>
    <row r="50" ht="15" customHeight="1" spans="1:2" x14ac:dyDescent="0.25">
      <c r="A50" s="274" t="s">
        <v>276</v>
      </c>
      <c r="B50" s="3"/>
    </row>
    <row r="51" ht="15" customHeight="1" spans="1:2" x14ac:dyDescent="0.25">
      <c r="A51" s="274" t="s">
        <v>277</v>
      </c>
      <c r="B51" s="3"/>
    </row>
    <row r="52" ht="15" customHeight="1" spans="1:2" x14ac:dyDescent="0.25">
      <c r="A52" s="274" t="s">
        <v>278</v>
      </c>
      <c r="B52" s="3"/>
    </row>
    <row r="53" ht="15" customHeight="1" spans="1:2" x14ac:dyDescent="0.25">
      <c r="A53" s="274" t="s">
        <v>279</v>
      </c>
      <c r="B53" s="3"/>
    </row>
    <row r="54" ht="15" customHeight="1" spans="1:2" x14ac:dyDescent="0.25">
      <c r="A54" s="274" t="s">
        <v>280</v>
      </c>
      <c r="B54" s="3"/>
    </row>
    <row r="55" ht="15" customHeight="1" spans="1:2" x14ac:dyDescent="0.25">
      <c r="A55" s="274" t="s">
        <v>281</v>
      </c>
      <c r="B55" s="3"/>
    </row>
    <row r="56" ht="15" customHeight="1" spans="1:2" x14ac:dyDescent="0.25">
      <c r="A56" s="274" t="s">
        <v>282</v>
      </c>
      <c r="B56" s="3"/>
    </row>
    <row r="57" ht="15" customHeight="1" spans="1:2" x14ac:dyDescent="0.25">
      <c r="A57" s="274" t="s">
        <v>283</v>
      </c>
      <c r="B57" s="3"/>
    </row>
    <row r="58" ht="15" customHeight="1" spans="1:2" x14ac:dyDescent="0.25">
      <c r="A58" s="274" t="s">
        <v>284</v>
      </c>
      <c r="B58" s="3"/>
    </row>
    <row r="59" ht="15" customHeight="1" spans="1:2" x14ac:dyDescent="0.25">
      <c r="A59" s="274" t="s">
        <v>285</v>
      </c>
      <c r="B59" s="3"/>
    </row>
    <row r="60" ht="15" customHeight="1" spans="1:2" x14ac:dyDescent="0.25">
      <c r="A60" s="274" t="s">
        <v>286</v>
      </c>
      <c r="B60" s="3"/>
    </row>
    <row r="61" ht="15" customHeight="1" spans="1:2" x14ac:dyDescent="0.25">
      <c r="A61" s="274" t="s">
        <v>287</v>
      </c>
      <c r="B61" s="3"/>
    </row>
    <row r="62" ht="15" customHeight="1" spans="1:2" x14ac:dyDescent="0.25">
      <c r="A62" s="274" t="s">
        <v>288</v>
      </c>
      <c r="B62" s="3"/>
    </row>
    <row r="63" ht="15" customHeight="1" spans="1:2" x14ac:dyDescent="0.25">
      <c r="A63" s="274" t="s">
        <v>289</v>
      </c>
      <c r="B63" s="3"/>
    </row>
    <row r="64" ht="15" customHeight="1" spans="1:2" x14ac:dyDescent="0.25">
      <c r="A64" s="274" t="s">
        <v>290</v>
      </c>
      <c r="B64" s="3"/>
    </row>
    <row r="65" ht="15" customHeight="1" spans="1:2" x14ac:dyDescent="0.25">
      <c r="A65" s="274" t="s">
        <v>291</v>
      </c>
      <c r="B65" s="3"/>
    </row>
    <row r="66" ht="15" customHeight="1" spans="1:2" x14ac:dyDescent="0.25">
      <c r="A66" s="274" t="s">
        <v>292</v>
      </c>
      <c r="B66" s="3"/>
    </row>
    <row r="67" ht="15" customHeight="1" spans="1:2" x14ac:dyDescent="0.25">
      <c r="A67" s="274" t="s">
        <v>293</v>
      </c>
      <c r="B67" s="3"/>
    </row>
    <row r="68" ht="15" customHeight="1" spans="1:2" x14ac:dyDescent="0.25">
      <c r="A68" s="274"/>
      <c r="B68" s="3"/>
    </row>
    <row r="69" ht="15" customHeight="1" spans="1:2" x14ac:dyDescent="0.25">
      <c r="A69" s="274" t="s">
        <v>294</v>
      </c>
      <c r="B69" s="3"/>
    </row>
    <row r="70" ht="15" customHeight="1" spans="1:2" x14ac:dyDescent="0.25">
      <c r="A70" s="274" t="s">
        <v>295</v>
      </c>
      <c r="B70" s="3"/>
    </row>
    <row r="71" ht="15" customHeight="1" spans="1:2" x14ac:dyDescent="0.25">
      <c r="A71" s="274" t="s">
        <v>296</v>
      </c>
      <c r="B71" s="3"/>
    </row>
    <row r="72" ht="15" customHeight="1" spans="1:2" x14ac:dyDescent="0.25">
      <c r="A72" s="274" t="s">
        <v>297</v>
      </c>
      <c r="B72" s="3"/>
    </row>
    <row r="73" ht="15" customHeight="1" spans="1:2" x14ac:dyDescent="0.25">
      <c r="A73" s="274" t="s">
        <v>298</v>
      </c>
      <c r="B73" s="3"/>
    </row>
    <row r="74" ht="15" customHeight="1" spans="1:2" x14ac:dyDescent="0.25">
      <c r="A74" s="274"/>
      <c r="B74" s="3"/>
    </row>
    <row r="75" ht="15" customHeight="1" spans="1:2" x14ac:dyDescent="0.25">
      <c r="A75" s="274" t="s">
        <v>299</v>
      </c>
      <c r="B75" s="3"/>
    </row>
    <row r="76" ht="15" customHeight="1" spans="1:2" x14ac:dyDescent="0.25">
      <c r="A76" s="274" t="s">
        <v>295</v>
      </c>
      <c r="B76" s="3"/>
    </row>
    <row r="77" ht="15" customHeight="1" spans="1:2" x14ac:dyDescent="0.25">
      <c r="A77" s="274" t="s">
        <v>300</v>
      </c>
      <c r="B77" s="3"/>
    </row>
    <row r="78" ht="15" customHeight="1" spans="1:2" x14ac:dyDescent="0.25">
      <c r="A78" s="274" t="s">
        <v>301</v>
      </c>
      <c r="B78" s="3"/>
    </row>
    <row r="79" ht="15" customHeight="1" spans="1:2" x14ac:dyDescent="0.25">
      <c r="A79" s="274" t="s">
        <v>302</v>
      </c>
      <c r="B79" s="3"/>
    </row>
    <row r="80" ht="15" customHeight="1" spans="1:2" x14ac:dyDescent="0.25">
      <c r="A80" s="274" t="s">
        <v>303</v>
      </c>
      <c r="B80" s="3"/>
    </row>
    <row r="81" ht="15" customHeight="1" spans="1:2" x14ac:dyDescent="0.25">
      <c r="A81" s="274" t="s">
        <v>304</v>
      </c>
      <c r="B81" s="3"/>
    </row>
    <row r="82" ht="15" customHeight="1" spans="1:2" x14ac:dyDescent="0.25">
      <c r="A82" s="274" t="s">
        <v>298</v>
      </c>
      <c r="B82" s="3"/>
    </row>
    <row r="83" ht="15" customHeight="1" spans="1:2" x14ac:dyDescent="0.25">
      <c r="A83" s="274"/>
      <c r="B83" s="3"/>
    </row>
    <row r="84" ht="15" customHeight="1" spans="1:2" x14ac:dyDescent="0.25">
      <c r="A84" s="274" t="s">
        <v>305</v>
      </c>
      <c r="B84" s="3"/>
    </row>
    <row r="85" ht="15" customHeight="1" spans="1:2" x14ac:dyDescent="0.25">
      <c r="A85" s="274" t="s">
        <v>306</v>
      </c>
      <c r="B85" s="3"/>
    </row>
    <row r="86" ht="15" customHeight="1" spans="1:2" x14ac:dyDescent="0.25">
      <c r="A86" s="274" t="s">
        <v>307</v>
      </c>
      <c r="B86" s="3"/>
    </row>
    <row r="87" ht="15" customHeight="1" spans="1:2" x14ac:dyDescent="0.25">
      <c r="A87" s="274" t="s">
        <v>308</v>
      </c>
      <c r="B87" s="3"/>
    </row>
    <row r="88" ht="15" customHeight="1" spans="1:2" x14ac:dyDescent="0.25">
      <c r="A88" s="274" t="s">
        <v>309</v>
      </c>
      <c r="B88" s="3"/>
    </row>
    <row r="89" ht="15" customHeight="1" spans="1:2" x14ac:dyDescent="0.25">
      <c r="A89" s="274" t="s">
        <v>293</v>
      </c>
      <c r="B89" s="3"/>
    </row>
    <row r="90" ht="15" customHeight="1" spans="1:2" x14ac:dyDescent="0.25">
      <c r="A90" s="274"/>
      <c r="B90" s="3"/>
    </row>
    <row r="91" ht="15" customHeight="1" spans="1:2" x14ac:dyDescent="0.25">
      <c r="A91" s="274" t="s">
        <v>310</v>
      </c>
      <c r="B91" s="3"/>
    </row>
    <row r="92" ht="15" customHeight="1" spans="1:2" x14ac:dyDescent="0.25">
      <c r="A92" s="274"/>
      <c r="B92" s="3"/>
    </row>
    <row r="93" ht="15" customHeight="1" spans="1:2" x14ac:dyDescent="0.25">
      <c r="A93" s="274" t="s">
        <v>311</v>
      </c>
      <c r="B93" s="3"/>
    </row>
    <row r="94" ht="15" customHeight="1" spans="1:2" x14ac:dyDescent="0.25">
      <c r="A94" s="274" t="s">
        <v>312</v>
      </c>
      <c r="B94" s="3"/>
    </row>
    <row r="95" ht="15" customHeight="1" spans="1:2" x14ac:dyDescent="0.25">
      <c r="A95" s="274" t="s">
        <v>313</v>
      </c>
      <c r="B95" s="3"/>
    </row>
    <row r="96" ht="15" customHeight="1" spans="1:2" x14ac:dyDescent="0.25">
      <c r="A96" s="274" t="s">
        <v>314</v>
      </c>
      <c r="B96" s="3"/>
    </row>
    <row r="97" ht="15" customHeight="1" spans="1:2" x14ac:dyDescent="0.25">
      <c r="A97" s="274" t="s">
        <v>315</v>
      </c>
      <c r="B97" s="3"/>
    </row>
    <row r="98" ht="15" customHeight="1" spans="1:2" x14ac:dyDescent="0.25">
      <c r="A98" s="274" t="s">
        <v>316</v>
      </c>
      <c r="B98" s="3"/>
    </row>
    <row r="99" ht="15" customHeight="1" spans="1:2" x14ac:dyDescent="0.25">
      <c r="A99" s="274" t="s">
        <v>317</v>
      </c>
      <c r="B99" s="3"/>
    </row>
    <row r="100" ht="15" customHeight="1" spans="1:2" x14ac:dyDescent="0.25">
      <c r="A100" s="274" t="s">
        <v>318</v>
      </c>
      <c r="B100" s="3"/>
    </row>
    <row r="101" ht="15" customHeight="1" spans="1:2" x14ac:dyDescent="0.25">
      <c r="A101" s="274" t="s">
        <v>319</v>
      </c>
      <c r="B101" s="3"/>
    </row>
    <row r="102" ht="15" customHeight="1" spans="1:2" x14ac:dyDescent="0.25">
      <c r="A102" s="274" t="s">
        <v>320</v>
      </c>
      <c r="B102" s="3"/>
    </row>
    <row r="103" ht="15" customHeight="1" spans="1:2" x14ac:dyDescent="0.25">
      <c r="A103" s="274" t="s">
        <v>321</v>
      </c>
      <c r="B103" s="3"/>
    </row>
    <row r="104" ht="15" customHeight="1" spans="1:2" x14ac:dyDescent="0.25">
      <c r="A104" s="274" t="s">
        <v>322</v>
      </c>
      <c r="B104" s="3"/>
    </row>
    <row r="105" ht="15" customHeight="1" spans="1:2" x14ac:dyDescent="0.25">
      <c r="A105" s="274" t="s">
        <v>323</v>
      </c>
      <c r="B105" s="3"/>
    </row>
    <row r="106" ht="15" customHeight="1" spans="1:2" x14ac:dyDescent="0.25">
      <c r="A106" s="274" t="s">
        <v>324</v>
      </c>
      <c r="B106" s="3"/>
    </row>
    <row r="107" ht="15" customHeight="1" spans="1:2" x14ac:dyDescent="0.25">
      <c r="A107" s="274" t="s">
        <v>325</v>
      </c>
      <c r="B107" s="3"/>
    </row>
    <row r="108" ht="15" customHeight="1" spans="1:2" x14ac:dyDescent="0.25">
      <c r="A108" s="274" t="s">
        <v>326</v>
      </c>
      <c r="B108" s="3"/>
    </row>
    <row r="109" ht="15" customHeight="1" spans="1:2" x14ac:dyDescent="0.25">
      <c r="A109" s="274" t="s">
        <v>327</v>
      </c>
      <c r="B109" s="3"/>
    </row>
    <row r="110" ht="15" customHeight="1" spans="1:2" x14ac:dyDescent="0.25">
      <c r="A110" s="274" t="s">
        <v>328</v>
      </c>
      <c r="B110" s="3"/>
    </row>
    <row r="111" ht="15" customHeight="1" spans="1:2" x14ac:dyDescent="0.25">
      <c r="A111" s="274" t="s">
        <v>329</v>
      </c>
      <c r="B111" s="3"/>
    </row>
    <row r="112" ht="15" customHeight="1" spans="1:2" x14ac:dyDescent="0.25">
      <c r="A112" s="274" t="s">
        <v>330</v>
      </c>
      <c r="B112" s="3"/>
    </row>
    <row r="113" ht="15" customHeight="1" spans="1:2" x14ac:dyDescent="0.25">
      <c r="A113" s="274" t="s">
        <v>331</v>
      </c>
      <c r="B113" s="3"/>
    </row>
    <row r="114" ht="15" customHeight="1" spans="1:2" x14ac:dyDescent="0.25">
      <c r="A114" s="274" t="s">
        <v>332</v>
      </c>
      <c r="B114" s="3"/>
    </row>
    <row r="115" ht="15" customHeight="1" spans="1:2" x14ac:dyDescent="0.25">
      <c r="A115" s="274" t="s">
        <v>333</v>
      </c>
      <c r="B115" s="3"/>
    </row>
    <row r="116" ht="15" customHeight="1" spans="1:2" x14ac:dyDescent="0.25">
      <c r="A116" s="274" t="s">
        <v>334</v>
      </c>
      <c r="B116" s="3"/>
    </row>
    <row r="117" ht="15" customHeight="1" spans="1:2" x14ac:dyDescent="0.25">
      <c r="A117" s="274" t="s">
        <v>335</v>
      </c>
      <c r="B117" s="3"/>
    </row>
    <row r="118" ht="15" customHeight="1" spans="1:2" x14ac:dyDescent="0.25">
      <c r="A118" s="274" t="s">
        <v>336</v>
      </c>
      <c r="B118" s="3"/>
    </row>
    <row r="119" ht="15" customHeight="1" spans="1:2" x14ac:dyDescent="0.25">
      <c r="A119" s="274" t="s">
        <v>337</v>
      </c>
      <c r="B119" s="3"/>
    </row>
    <row r="120" ht="15" customHeight="1" spans="1:2" x14ac:dyDescent="0.25">
      <c r="A120" s="274" t="s">
        <v>338</v>
      </c>
      <c r="B120" s="3"/>
    </row>
    <row r="121" ht="15" customHeight="1" spans="1:2" x14ac:dyDescent="0.25">
      <c r="A121" s="274" t="s">
        <v>339</v>
      </c>
      <c r="B121" s="3"/>
    </row>
    <row r="122" ht="15" customHeight="1" spans="1:2" x14ac:dyDescent="0.25">
      <c r="A122" s="274" t="s">
        <v>340</v>
      </c>
      <c r="B122" s="3"/>
    </row>
    <row r="123" ht="15" customHeight="1" spans="1:2" x14ac:dyDescent="0.25">
      <c r="A123" s="274" t="s">
        <v>341</v>
      </c>
      <c r="B123" s="3"/>
    </row>
    <row r="124" ht="15" customHeight="1" spans="1:2" x14ac:dyDescent="0.25">
      <c r="A124" s="274" t="s">
        <v>342</v>
      </c>
      <c r="B124" s="3"/>
    </row>
    <row r="125" ht="15" customHeight="1" spans="1:2" x14ac:dyDescent="0.25">
      <c r="A125" s="274" t="s">
        <v>343</v>
      </c>
      <c r="B125" s="3"/>
    </row>
    <row r="126" ht="15" customHeight="1" spans="1:2" x14ac:dyDescent="0.25">
      <c r="A126" s="274" t="s">
        <v>344</v>
      </c>
      <c r="B126" s="3"/>
    </row>
    <row r="127" ht="15" customHeight="1" spans="1:2" x14ac:dyDescent="0.25">
      <c r="A127" s="274" t="s">
        <v>293</v>
      </c>
      <c r="B127" s="3"/>
    </row>
    <row r="128" ht="15" customHeight="1" spans="1:2" x14ac:dyDescent="0.25">
      <c r="A128" s="274"/>
      <c r="B128" s="3"/>
    </row>
    <row r="129" ht="15" customHeight="1" spans="1:2" x14ac:dyDescent="0.25">
      <c r="A129" s="274" t="s">
        <v>345</v>
      </c>
      <c r="B129" s="3"/>
    </row>
    <row r="130" ht="15" customHeight="1" spans="1:2" x14ac:dyDescent="0.25">
      <c r="A130" s="274" t="s">
        <v>346</v>
      </c>
      <c r="B130" s="3"/>
    </row>
    <row r="131" ht="15" customHeight="1" spans="1:2" x14ac:dyDescent="0.25">
      <c r="A131" s="274" t="s">
        <v>347</v>
      </c>
      <c r="B131" s="3"/>
    </row>
    <row r="132" ht="15" customHeight="1" spans="1:2" x14ac:dyDescent="0.25">
      <c r="A132" s="274" t="s">
        <v>314</v>
      </c>
      <c r="B132" s="3"/>
    </row>
    <row r="133" ht="15" customHeight="1" spans="1:2" x14ac:dyDescent="0.25">
      <c r="A133" s="274" t="s">
        <v>348</v>
      </c>
      <c r="B133" s="3"/>
    </row>
    <row r="134" ht="15" customHeight="1" spans="1:2" x14ac:dyDescent="0.25">
      <c r="A134" s="274" t="s">
        <v>349</v>
      </c>
      <c r="B134" s="3"/>
    </row>
    <row r="135" ht="15" customHeight="1" spans="1:2" x14ac:dyDescent="0.25">
      <c r="A135" s="274" t="s">
        <v>350</v>
      </c>
      <c r="B135" s="3"/>
    </row>
    <row r="136" ht="15" customHeight="1" spans="1:2" x14ac:dyDescent="0.25">
      <c r="A136" s="274" t="s">
        <v>323</v>
      </c>
      <c r="B136" s="3"/>
    </row>
    <row r="137" ht="15" customHeight="1" spans="1:2" x14ac:dyDescent="0.25">
      <c r="A137" s="274" t="s">
        <v>351</v>
      </c>
      <c r="B137" s="3"/>
    </row>
    <row r="138" ht="15" customHeight="1" spans="1:2" x14ac:dyDescent="0.25">
      <c r="A138" s="274" t="s">
        <v>324</v>
      </c>
      <c r="B138" s="3"/>
    </row>
    <row r="139" ht="15" customHeight="1" spans="1:2" x14ac:dyDescent="0.25">
      <c r="A139" s="274" t="s">
        <v>352</v>
      </c>
      <c r="B139" s="3"/>
    </row>
    <row r="140" ht="15" customHeight="1" spans="1:2" x14ac:dyDescent="0.25">
      <c r="A140" s="274" t="s">
        <v>326</v>
      </c>
      <c r="B140" s="3"/>
    </row>
    <row r="141" ht="15" customHeight="1" spans="1:2" x14ac:dyDescent="0.25">
      <c r="A141" s="274" t="s">
        <v>353</v>
      </c>
      <c r="B141" s="3"/>
    </row>
    <row r="142" ht="15" customHeight="1" spans="1:2" x14ac:dyDescent="0.25">
      <c r="A142" s="274" t="s">
        <v>354</v>
      </c>
      <c r="B142" s="3"/>
    </row>
    <row r="143" ht="15" customHeight="1" spans="1:2" x14ac:dyDescent="0.25">
      <c r="A143" s="274" t="s">
        <v>355</v>
      </c>
      <c r="B143" s="3"/>
    </row>
    <row r="144" ht="15" customHeight="1" spans="1:2" x14ac:dyDescent="0.25">
      <c r="A144" s="274" t="s">
        <v>356</v>
      </c>
      <c r="B144" s="3"/>
    </row>
    <row r="145" ht="15" customHeight="1" spans="1:2" x14ac:dyDescent="0.25">
      <c r="A145" s="274" t="s">
        <v>357</v>
      </c>
      <c r="B145" s="3"/>
    </row>
    <row r="146" ht="15" customHeight="1" spans="1:2" x14ac:dyDescent="0.25">
      <c r="A146" s="274" t="s">
        <v>358</v>
      </c>
      <c r="B146" s="3"/>
    </row>
    <row r="147" ht="15" customHeight="1" spans="1:2" x14ac:dyDescent="0.25">
      <c r="A147" s="274" t="s">
        <v>359</v>
      </c>
      <c r="B147" s="3"/>
    </row>
    <row r="148" ht="15" customHeight="1" spans="1:2" x14ac:dyDescent="0.25">
      <c r="A148" s="274" t="s">
        <v>360</v>
      </c>
      <c r="B148" s="3"/>
    </row>
    <row r="149" ht="15" customHeight="1" spans="1:2" x14ac:dyDescent="0.25">
      <c r="A149" s="274" t="s">
        <v>361</v>
      </c>
      <c r="B149" s="3"/>
    </row>
    <row r="150" ht="15" customHeight="1" spans="1:2" x14ac:dyDescent="0.25">
      <c r="A150" s="274" t="s">
        <v>362</v>
      </c>
      <c r="B150" s="3"/>
    </row>
    <row r="151" ht="15" customHeight="1" spans="1:2" x14ac:dyDescent="0.25">
      <c r="A151" s="274" t="s">
        <v>363</v>
      </c>
      <c r="B151" s="3"/>
    </row>
    <row r="152" ht="15" customHeight="1" spans="1:2" x14ac:dyDescent="0.25">
      <c r="A152" s="274" t="s">
        <v>364</v>
      </c>
      <c r="B152" s="3"/>
    </row>
    <row r="153" ht="15" customHeight="1" spans="1:2" x14ac:dyDescent="0.25">
      <c r="A153" s="274" t="s">
        <v>365</v>
      </c>
      <c r="B153" s="3"/>
    </row>
    <row r="154" ht="15" customHeight="1" spans="1:2" x14ac:dyDescent="0.25">
      <c r="A154" s="274" t="s">
        <v>366</v>
      </c>
      <c r="B154" s="3"/>
    </row>
    <row r="155" ht="15" customHeight="1" spans="1:2" x14ac:dyDescent="0.25">
      <c r="A155" s="274" t="s">
        <v>367</v>
      </c>
      <c r="B155" s="3"/>
    </row>
    <row r="156" ht="15" customHeight="1" spans="1:2" x14ac:dyDescent="0.25">
      <c r="A156" s="274" t="s">
        <v>362</v>
      </c>
      <c r="B156" s="3"/>
    </row>
    <row r="157" ht="15" customHeight="1" spans="1:2" x14ac:dyDescent="0.25">
      <c r="A157" s="274" t="s">
        <v>340</v>
      </c>
      <c r="B157" s="3"/>
    </row>
    <row r="158" ht="15" customHeight="1" spans="1:2" x14ac:dyDescent="0.25">
      <c r="A158" s="274" t="s">
        <v>341</v>
      </c>
      <c r="B158" s="3"/>
    </row>
    <row r="159" ht="15" customHeight="1" spans="1:2" x14ac:dyDescent="0.25">
      <c r="A159" s="274" t="s">
        <v>342</v>
      </c>
      <c r="B159" s="3"/>
    </row>
    <row r="160" ht="15" customHeight="1" spans="1:2" x14ac:dyDescent="0.25">
      <c r="A160" s="274" t="s">
        <v>368</v>
      </c>
      <c r="B160" s="3"/>
    </row>
    <row r="161" ht="15" customHeight="1" spans="1:2" x14ac:dyDescent="0.25">
      <c r="A161" s="274" t="s">
        <v>293</v>
      </c>
      <c r="B161" s="3"/>
    </row>
    <row r="162" ht="15" customHeight="1" spans="1:2" x14ac:dyDescent="0.25">
      <c r="A162" s="274"/>
      <c r="B162" s="3"/>
    </row>
    <row r="163" ht="15" customHeight="1" spans="1:2" x14ac:dyDescent="0.25">
      <c r="A163" s="274" t="s">
        <v>369</v>
      </c>
      <c r="B163" s="3"/>
    </row>
    <row r="164" ht="15" customHeight="1" spans="1:2" x14ac:dyDescent="0.25">
      <c r="A164" s="274" t="s">
        <v>370</v>
      </c>
      <c r="B164" s="3"/>
    </row>
    <row r="165" ht="15" customHeight="1" spans="1:2" x14ac:dyDescent="0.25">
      <c r="A165" s="274" t="s">
        <v>371</v>
      </c>
      <c r="B165" s="3"/>
    </row>
    <row r="166" ht="15" customHeight="1" spans="1:2" x14ac:dyDescent="0.25">
      <c r="A166" s="274" t="s">
        <v>349</v>
      </c>
      <c r="B166" s="3"/>
    </row>
    <row r="167" ht="15" customHeight="1" spans="1:2" x14ac:dyDescent="0.25">
      <c r="A167" s="274" t="s">
        <v>372</v>
      </c>
      <c r="B167" s="3"/>
    </row>
    <row r="168" ht="15" customHeight="1" spans="1:2" x14ac:dyDescent="0.25">
      <c r="A168" s="274" t="s">
        <v>373</v>
      </c>
      <c r="B168" s="3"/>
    </row>
    <row r="169" ht="15" customHeight="1" spans="1:2" x14ac:dyDescent="0.25">
      <c r="A169" s="274" t="s">
        <v>374</v>
      </c>
      <c r="B169" s="3"/>
    </row>
    <row r="170" ht="15" customHeight="1" spans="1:2" x14ac:dyDescent="0.25">
      <c r="A170" s="274" t="s">
        <v>375</v>
      </c>
      <c r="B170" s="3"/>
    </row>
    <row r="171" ht="15" customHeight="1" spans="1:2" x14ac:dyDescent="0.25">
      <c r="A171" s="274" t="s">
        <v>376</v>
      </c>
      <c r="B171" s="3"/>
    </row>
    <row r="172" ht="15" customHeight="1" spans="1:2" x14ac:dyDescent="0.25">
      <c r="A172" s="274" t="s">
        <v>293</v>
      </c>
      <c r="B172" s="3"/>
    </row>
    <row r="173" ht="15" customHeight="1" spans="1:2" x14ac:dyDescent="0.25">
      <c r="A173" s="274"/>
      <c r="B173" s="3"/>
    </row>
    <row r="174" ht="15" customHeight="1" spans="1:2" x14ac:dyDescent="0.25">
      <c r="A174" s="274" t="s">
        <v>377</v>
      </c>
      <c r="B174" s="3"/>
    </row>
    <row r="175" ht="15" customHeight="1" spans="1:2" x14ac:dyDescent="0.25">
      <c r="A175" s="274" t="s">
        <v>351</v>
      </c>
      <c r="B175" s="3"/>
    </row>
    <row r="176" ht="15" customHeight="1" spans="1:2" x14ac:dyDescent="0.25">
      <c r="A176" s="274" t="s">
        <v>293</v>
      </c>
      <c r="B176" s="3"/>
    </row>
    <row r="177" ht="15" customHeight="1" spans="1:2" x14ac:dyDescent="0.25">
      <c r="A177" s="274"/>
      <c r="B177" s="3"/>
    </row>
    <row r="178" ht="15" customHeight="1" spans="1:2" x14ac:dyDescent="0.25">
      <c r="A178" s="274" t="s">
        <v>378</v>
      </c>
      <c r="B178" s="3"/>
    </row>
    <row r="179" ht="15" customHeight="1" spans="1:2" x14ac:dyDescent="0.25">
      <c r="A179" s="274" t="s">
        <v>379</v>
      </c>
      <c r="B179" s="3"/>
    </row>
    <row r="180" ht="15" customHeight="1" spans="1:2" x14ac:dyDescent="0.25">
      <c r="A180" s="274" t="s">
        <v>380</v>
      </c>
      <c r="B180" s="3"/>
    </row>
    <row r="181" ht="15" customHeight="1" spans="1:2" x14ac:dyDescent="0.25">
      <c r="A181" s="274" t="s">
        <v>293</v>
      </c>
      <c r="B181" s="3"/>
    </row>
    <row r="182" ht="15" customHeight="1" spans="1:2" x14ac:dyDescent="0.25">
      <c r="A182" s="274"/>
      <c r="B182" s="3"/>
    </row>
    <row r="183" ht="15" customHeight="1" spans="1:2" x14ac:dyDescent="0.25">
      <c r="A183" s="274" t="s">
        <v>381</v>
      </c>
      <c r="B183" s="3"/>
    </row>
    <row r="184" ht="15" customHeight="1" spans="1:2" x14ac:dyDescent="0.25">
      <c r="A184" s="274"/>
      <c r="B184" s="3"/>
    </row>
    <row r="185" ht="15" customHeight="1" spans="1:2" x14ac:dyDescent="0.25">
      <c r="A185" s="274" t="s">
        <v>382</v>
      </c>
      <c r="B185" s="3"/>
    </row>
    <row r="186" ht="15" customHeight="1" spans="1:2" x14ac:dyDescent="0.25">
      <c r="A186" s="274" t="s">
        <v>306</v>
      </c>
      <c r="B186" s="3"/>
    </row>
    <row r="187" ht="15" customHeight="1" spans="1:2" x14ac:dyDescent="0.25">
      <c r="A187" s="274" t="s">
        <v>383</v>
      </c>
      <c r="B187" s="3"/>
    </row>
    <row r="188" ht="15" customHeight="1" spans="1:2" x14ac:dyDescent="0.25">
      <c r="A188" s="274" t="s">
        <v>308</v>
      </c>
      <c r="B188" s="3"/>
    </row>
    <row r="189" ht="15" customHeight="1" spans="1:2" x14ac:dyDescent="0.25">
      <c r="A189" s="274" t="s">
        <v>384</v>
      </c>
      <c r="B189" s="3"/>
    </row>
    <row r="190" ht="15" customHeight="1" spans="1:2" x14ac:dyDescent="0.25">
      <c r="A190" s="274" t="s">
        <v>385</v>
      </c>
      <c r="B190" s="3"/>
    </row>
    <row r="191" ht="15" customHeight="1" spans="1:2" x14ac:dyDescent="0.25">
      <c r="A191" s="274" t="s">
        <v>386</v>
      </c>
      <c r="B191" s="3"/>
    </row>
    <row r="192" ht="15" customHeight="1" spans="1:2" x14ac:dyDescent="0.25">
      <c r="A192" s="274" t="s">
        <v>387</v>
      </c>
      <c r="B192" s="3"/>
    </row>
    <row r="193" ht="15" customHeight="1" spans="1:2" x14ac:dyDescent="0.25">
      <c r="A193" s="274" t="s">
        <v>322</v>
      </c>
      <c r="B193" s="3"/>
    </row>
    <row r="194" ht="15" customHeight="1" spans="1:2" x14ac:dyDescent="0.25">
      <c r="A194" s="274" t="s">
        <v>298</v>
      </c>
      <c r="B194" s="3"/>
    </row>
    <row r="195" ht="15" customHeight="1" spans="1:2" x14ac:dyDescent="0.25">
      <c r="A195" s="274"/>
      <c r="B195" s="3"/>
    </row>
    <row r="196" ht="15" customHeight="1" spans="1:2" x14ac:dyDescent="0.25">
      <c r="A196" s="274" t="s">
        <v>388</v>
      </c>
      <c r="B196" s="3"/>
    </row>
    <row r="197" ht="15" customHeight="1" spans="1:2" x14ac:dyDescent="0.25">
      <c r="A197" s="274" t="s">
        <v>389</v>
      </c>
      <c r="B197" s="3"/>
    </row>
    <row r="198" ht="15" customHeight="1" spans="1:2" x14ac:dyDescent="0.25">
      <c r="A198" s="274" t="s">
        <v>314</v>
      </c>
      <c r="B198" s="3"/>
    </row>
    <row r="199" ht="15" customHeight="1" spans="1:2" x14ac:dyDescent="0.25">
      <c r="A199" s="274" t="s">
        <v>390</v>
      </c>
      <c r="B199" s="3"/>
    </row>
    <row r="200" ht="15" customHeight="1" spans="1:2" x14ac:dyDescent="0.25">
      <c r="A200" s="274" t="s">
        <v>391</v>
      </c>
      <c r="B200" s="3"/>
    </row>
    <row r="201" ht="15" customHeight="1" spans="1:2" x14ac:dyDescent="0.25">
      <c r="A201" s="274" t="s">
        <v>298</v>
      </c>
      <c r="B201" s="3"/>
    </row>
    <row r="202" ht="15" customHeight="1" spans="1:2" x14ac:dyDescent="0.25">
      <c r="A202" s="274"/>
      <c r="B202" s="3"/>
    </row>
    <row r="203" ht="15" customHeight="1" spans="1:2" x14ac:dyDescent="0.25">
      <c r="A203" s="274" t="s">
        <v>392</v>
      </c>
      <c r="B203" s="3"/>
    </row>
    <row r="204" ht="15" customHeight="1" spans="1:2" x14ac:dyDescent="0.25">
      <c r="A204" s="274" t="s">
        <v>393</v>
      </c>
      <c r="B204" s="3"/>
    </row>
    <row r="205" ht="15" customHeight="1" spans="1:2" x14ac:dyDescent="0.25">
      <c r="A205" s="274" t="s">
        <v>394</v>
      </c>
      <c r="B205" s="3"/>
    </row>
    <row r="206" ht="15" customHeight="1" spans="1:2" x14ac:dyDescent="0.25">
      <c r="A206" s="274" t="s">
        <v>298</v>
      </c>
      <c r="B206" s="3"/>
    </row>
    <row r="207" ht="15" customHeight="1" spans="1:2" x14ac:dyDescent="0.25">
      <c r="A207" s="274"/>
      <c r="B207" s="3"/>
    </row>
    <row r="208" ht="15" customHeight="1" spans="1:2" x14ac:dyDescent="0.25">
      <c r="A208" s="274" t="s">
        <v>395</v>
      </c>
      <c r="B208" s="3"/>
    </row>
    <row r="209" ht="15" customHeight="1" spans="1:2" x14ac:dyDescent="0.25">
      <c r="A209" s="274" t="s">
        <v>396</v>
      </c>
      <c r="B209" s="3"/>
    </row>
    <row r="210" ht="15" customHeight="1" spans="1:2" x14ac:dyDescent="0.25">
      <c r="A210" s="274" t="s">
        <v>314</v>
      </c>
      <c r="B210" s="3"/>
    </row>
    <row r="211" ht="15" customHeight="1" spans="1:2" x14ac:dyDescent="0.25">
      <c r="A211" s="274" t="s">
        <v>397</v>
      </c>
      <c r="B211" s="3"/>
    </row>
    <row r="212" ht="15" customHeight="1" spans="1:2" x14ac:dyDescent="0.25">
      <c r="A212" s="274" t="s">
        <v>398</v>
      </c>
      <c r="B212" s="3"/>
    </row>
    <row r="213" ht="15" customHeight="1" spans="1:2" x14ac:dyDescent="0.25">
      <c r="A213" s="274" t="s">
        <v>341</v>
      </c>
      <c r="B213" s="3"/>
    </row>
    <row r="214" ht="15" customHeight="1" spans="1:2" x14ac:dyDescent="0.25">
      <c r="A214" s="274" t="s">
        <v>399</v>
      </c>
      <c r="B214" s="3"/>
    </row>
    <row r="215" ht="15" customHeight="1" spans="1:2" x14ac:dyDescent="0.25">
      <c r="A215" s="274" t="s">
        <v>298</v>
      </c>
      <c r="B215" s="3"/>
    </row>
    <row r="216" ht="15" customHeight="1" spans="1:2" x14ac:dyDescent="0.25">
      <c r="A216" s="274"/>
      <c r="B216" s="3"/>
    </row>
    <row r="217" ht="15" customHeight="1" spans="1:2" x14ac:dyDescent="0.25">
      <c r="A217" s="274" t="s">
        <v>400</v>
      </c>
      <c r="B217" s="3"/>
    </row>
    <row r="218" ht="15" customHeight="1" spans="1:2" x14ac:dyDescent="0.25">
      <c r="A218" s="274" t="s">
        <v>401</v>
      </c>
      <c r="B218" s="3"/>
    </row>
    <row r="219" ht="15" customHeight="1" spans="1:2" x14ac:dyDescent="0.25">
      <c r="A219" s="274" t="s">
        <v>402</v>
      </c>
      <c r="B219" s="3"/>
    </row>
    <row r="220" ht="15" customHeight="1" spans="1:2" x14ac:dyDescent="0.25">
      <c r="A220" s="274" t="s">
        <v>403</v>
      </c>
      <c r="B220" s="3"/>
    </row>
    <row r="221" ht="15" customHeight="1" spans="1:2" x14ac:dyDescent="0.25">
      <c r="A221" s="274" t="s">
        <v>404</v>
      </c>
      <c r="B221" s="3"/>
    </row>
    <row r="222" ht="15" customHeight="1" spans="1:2" x14ac:dyDescent="0.25">
      <c r="A222" s="274" t="s">
        <v>314</v>
      </c>
      <c r="B222" s="3"/>
    </row>
    <row r="223" ht="15" customHeight="1" spans="1:2" x14ac:dyDescent="0.25">
      <c r="A223" s="274" t="s">
        <v>323</v>
      </c>
      <c r="B223" s="3"/>
    </row>
    <row r="224" ht="15" customHeight="1" spans="1:2" x14ac:dyDescent="0.25">
      <c r="A224" s="274" t="s">
        <v>352</v>
      </c>
      <c r="B224" s="3"/>
    </row>
    <row r="225" ht="15" customHeight="1" spans="1:2" x14ac:dyDescent="0.25">
      <c r="A225" s="274" t="s">
        <v>405</v>
      </c>
      <c r="B225" s="3"/>
    </row>
    <row r="226" ht="15" customHeight="1" spans="1:2" x14ac:dyDescent="0.25">
      <c r="A226" s="274" t="s">
        <v>353</v>
      </c>
      <c r="B226" s="3"/>
    </row>
    <row r="227" ht="15" customHeight="1" spans="1:2" x14ac:dyDescent="0.25">
      <c r="A227" s="274" t="s">
        <v>406</v>
      </c>
      <c r="B227" s="3"/>
    </row>
    <row r="228" ht="15" customHeight="1" spans="1:2" x14ac:dyDescent="0.25">
      <c r="A228" s="274" t="s">
        <v>407</v>
      </c>
      <c r="B228" s="3"/>
    </row>
    <row r="229" ht="15" customHeight="1" spans="1:2" x14ac:dyDescent="0.25">
      <c r="A229" s="274" t="s">
        <v>408</v>
      </c>
      <c r="B229" s="3"/>
    </row>
    <row r="230" ht="15" customHeight="1" spans="1:2" x14ac:dyDescent="0.25">
      <c r="A230" s="274" t="s">
        <v>409</v>
      </c>
      <c r="B230" s="3"/>
    </row>
    <row r="231" ht="15" customHeight="1" spans="1:2" x14ac:dyDescent="0.25">
      <c r="A231" s="274" t="s">
        <v>362</v>
      </c>
      <c r="B231" s="3"/>
    </row>
    <row r="232" ht="15" customHeight="1" spans="1:2" x14ac:dyDescent="0.25">
      <c r="A232" s="274" t="s">
        <v>410</v>
      </c>
      <c r="B232" s="3"/>
    </row>
    <row r="233" ht="15" customHeight="1" spans="1:2" x14ac:dyDescent="0.25">
      <c r="A233" s="274" t="s">
        <v>340</v>
      </c>
      <c r="B233" s="3"/>
    </row>
    <row r="234" ht="15" customHeight="1" spans="1:2" x14ac:dyDescent="0.25">
      <c r="A234" s="274" t="s">
        <v>341</v>
      </c>
      <c r="B234" s="3"/>
    </row>
    <row r="235" ht="15" customHeight="1" spans="1:2" x14ac:dyDescent="0.25">
      <c r="A235" s="274" t="s">
        <v>411</v>
      </c>
      <c r="B235" s="3"/>
    </row>
    <row r="236" ht="15" customHeight="1" spans="1:2" x14ac:dyDescent="0.25">
      <c r="A236" s="274" t="s">
        <v>412</v>
      </c>
      <c r="B236" s="3"/>
    </row>
    <row r="237" ht="15" customHeight="1" spans="1:2" x14ac:dyDescent="0.25">
      <c r="A237" s="274" t="s">
        <v>341</v>
      </c>
      <c r="B237" s="3"/>
    </row>
    <row r="238" ht="15" customHeight="1" spans="1:2" x14ac:dyDescent="0.25">
      <c r="A238" s="274" t="s">
        <v>342</v>
      </c>
      <c r="B238" s="3"/>
    </row>
    <row r="239" ht="15" customHeight="1" spans="1:2" x14ac:dyDescent="0.25">
      <c r="A239" s="274" t="s">
        <v>293</v>
      </c>
      <c r="B239" s="3"/>
    </row>
    <row r="240" ht="15" customHeight="1" spans="1:2" x14ac:dyDescent="0.25">
      <c r="A240" s="274"/>
      <c r="B240" s="3"/>
    </row>
    <row r="241" ht="15" customHeight="1" spans="1:2" x14ac:dyDescent="0.25">
      <c r="A241" s="274" t="s">
        <v>413</v>
      </c>
      <c r="B241" s="3"/>
    </row>
    <row r="242" ht="15" customHeight="1" spans="1:2" x14ac:dyDescent="0.25">
      <c r="A242" s="274" t="s">
        <v>414</v>
      </c>
      <c r="B242" s="3"/>
    </row>
    <row r="243" ht="15" customHeight="1" spans="1:2" x14ac:dyDescent="0.25">
      <c r="A243" s="274" t="s">
        <v>415</v>
      </c>
      <c r="B243" s="3"/>
    </row>
    <row r="244" ht="15" customHeight="1" spans="1:2" x14ac:dyDescent="0.25">
      <c r="A244" s="274" t="s">
        <v>416</v>
      </c>
      <c r="B244" s="3"/>
    </row>
    <row r="245" ht="15" customHeight="1" spans="1:2" x14ac:dyDescent="0.25">
      <c r="A245" s="274" t="s">
        <v>417</v>
      </c>
      <c r="B245" s="3"/>
    </row>
    <row r="246" ht="15" customHeight="1" spans="1:2" x14ac:dyDescent="0.25">
      <c r="A246" s="274" t="s">
        <v>418</v>
      </c>
      <c r="B246" s="3"/>
    </row>
    <row r="247" ht="15" customHeight="1" spans="1:2" x14ac:dyDescent="0.25">
      <c r="A247" s="274" t="s">
        <v>419</v>
      </c>
      <c r="B247" s="3"/>
    </row>
    <row r="248" ht="15" customHeight="1" spans="1:2" x14ac:dyDescent="0.25">
      <c r="A248" s="274" t="s">
        <v>420</v>
      </c>
      <c r="B248" s="3"/>
    </row>
    <row r="249" ht="15" customHeight="1" spans="1:2" x14ac:dyDescent="0.25">
      <c r="A249" s="274" t="s">
        <v>421</v>
      </c>
      <c r="B249" s="3"/>
    </row>
    <row r="250" ht="15" customHeight="1" spans="1:2" x14ac:dyDescent="0.25">
      <c r="A250" s="274" t="s">
        <v>422</v>
      </c>
      <c r="B250" s="3"/>
    </row>
    <row r="251" ht="15" customHeight="1" spans="1:2" x14ac:dyDescent="0.25">
      <c r="A251" s="274" t="s">
        <v>293</v>
      </c>
      <c r="B251" s="3"/>
    </row>
    <row r="252" ht="15" customHeight="1" spans="1:2" x14ac:dyDescent="0.25">
      <c r="A252" s="274"/>
      <c r="B252" s="3"/>
    </row>
    <row r="253" ht="15" customHeight="1" spans="1:2" x14ac:dyDescent="0.25">
      <c r="A253" s="274" t="s">
        <v>423</v>
      </c>
      <c r="B253" s="3"/>
    </row>
    <row r="254" ht="15" customHeight="1" spans="1:2" x14ac:dyDescent="0.25">
      <c r="A254" s="274" t="s">
        <v>424</v>
      </c>
      <c r="B254" s="3"/>
    </row>
    <row r="255" ht="15" customHeight="1" spans="1:2" x14ac:dyDescent="0.25">
      <c r="A255" s="274" t="s">
        <v>293</v>
      </c>
      <c r="B255" s="3"/>
    </row>
    <row r="256" ht="15" customHeight="1" spans="1:2" x14ac:dyDescent="0.25">
      <c r="A256" s="274"/>
      <c r="B256" s="3"/>
    </row>
    <row r="257" ht="15" customHeight="1" spans="1:2" x14ac:dyDescent="0.25">
      <c r="A257" s="274" t="s">
        <v>425</v>
      </c>
      <c r="B257" s="3"/>
    </row>
    <row r="258" ht="15" customHeight="1" spans="1:2" x14ac:dyDescent="0.25">
      <c r="A258" s="274" t="s">
        <v>426</v>
      </c>
      <c r="B258" s="3"/>
    </row>
    <row r="259" ht="15" customHeight="1" spans="1:2" x14ac:dyDescent="0.25">
      <c r="A259" s="274" t="s">
        <v>427</v>
      </c>
      <c r="B259" s="3"/>
    </row>
    <row r="260" ht="15" customHeight="1" spans="1:2" x14ac:dyDescent="0.25">
      <c r="A260" s="274" t="s">
        <v>428</v>
      </c>
      <c r="B260" s="3"/>
    </row>
    <row r="261" ht="15" customHeight="1" spans="1:2" x14ac:dyDescent="0.25">
      <c r="A261" s="274" t="s">
        <v>429</v>
      </c>
      <c r="B261" s="3"/>
    </row>
    <row r="262" ht="15" customHeight="1" spans="1:2" x14ac:dyDescent="0.25">
      <c r="A262" s="274" t="s">
        <v>430</v>
      </c>
      <c r="B262" s="3"/>
    </row>
    <row r="263" ht="15" customHeight="1" spans="1:2" x14ac:dyDescent="0.25">
      <c r="A263" s="274" t="s">
        <v>324</v>
      </c>
      <c r="B263" s="3"/>
    </row>
    <row r="264" ht="15" customHeight="1" spans="1:2" x14ac:dyDescent="0.25">
      <c r="A264" s="274" t="s">
        <v>327</v>
      </c>
      <c r="B264" s="3"/>
    </row>
    <row r="265" ht="15" customHeight="1" spans="1:2" x14ac:dyDescent="0.25">
      <c r="A265" s="274" t="s">
        <v>328</v>
      </c>
      <c r="B265" s="3"/>
    </row>
    <row r="266" ht="15" customHeight="1" spans="1:2" x14ac:dyDescent="0.25">
      <c r="A266" s="274" t="s">
        <v>339</v>
      </c>
      <c r="B266" s="3"/>
    </row>
    <row r="267" ht="15" customHeight="1" spans="1:2" x14ac:dyDescent="0.25">
      <c r="A267" s="274" t="s">
        <v>431</v>
      </c>
      <c r="B267" s="3"/>
    </row>
    <row r="268" ht="15" customHeight="1" spans="1:2" x14ac:dyDescent="0.25">
      <c r="A268" s="274" t="s">
        <v>432</v>
      </c>
      <c r="B268" s="3"/>
    </row>
    <row r="269" ht="15" customHeight="1" spans="1:2" x14ac:dyDescent="0.25">
      <c r="A269" s="274" t="s">
        <v>340</v>
      </c>
      <c r="B269" s="3"/>
    </row>
    <row r="270" ht="15" customHeight="1" spans="1:2" x14ac:dyDescent="0.25">
      <c r="A270" s="274" t="s">
        <v>341</v>
      </c>
      <c r="B270" s="3"/>
    </row>
    <row r="271" ht="15" customHeight="1" spans="1:2" x14ac:dyDescent="0.25">
      <c r="A271" s="274" t="s">
        <v>433</v>
      </c>
      <c r="B271" s="3"/>
    </row>
    <row r="272" ht="15" customHeight="1" spans="1:2" x14ac:dyDescent="0.25">
      <c r="A272" s="274" t="s">
        <v>434</v>
      </c>
      <c r="B272" s="3"/>
    </row>
    <row r="273" ht="15" customHeight="1" spans="1:2" x14ac:dyDescent="0.25">
      <c r="A273" s="274" t="s">
        <v>298</v>
      </c>
      <c r="B273" s="3"/>
    </row>
    <row r="274" ht="15" customHeight="1" spans="1:2" x14ac:dyDescent="0.25">
      <c r="A274" s="274"/>
      <c r="B274" s="3"/>
    </row>
    <row r="275" ht="15" customHeight="1" spans="1:2" x14ac:dyDescent="0.25">
      <c r="A275" s="274" t="s">
        <v>435</v>
      </c>
      <c r="B275" s="3"/>
    </row>
    <row r="276" ht="15" customHeight="1" spans="1:2" x14ac:dyDescent="0.25">
      <c r="A276" s="274" t="s">
        <v>436</v>
      </c>
      <c r="B276" s="3"/>
    </row>
    <row r="277" ht="15" customHeight="1" spans="1:2" x14ac:dyDescent="0.25">
      <c r="A277" s="274" t="s">
        <v>298</v>
      </c>
      <c r="B277" s="3"/>
    </row>
    <row r="278" ht="15" customHeight="1" spans="1:2" x14ac:dyDescent="0.25">
      <c r="A278" s="275"/>
      <c r="B278" s="3"/>
    </row>
    <row r="279" ht="15" customHeight="1" spans="1:2" x14ac:dyDescent="0.25">
      <c r="A279" s="275"/>
      <c r="B279" s="3"/>
    </row>
    <row r="280" ht="15" customHeight="1" spans="1:2" x14ac:dyDescent="0.25">
      <c r="A280" s="275"/>
      <c r="B280" s="3"/>
    </row>
    <row r="281" ht="15" customHeight="1" spans="1:2" x14ac:dyDescent="0.25">
      <c r="A281" s="275"/>
      <c r="B281" s="3"/>
    </row>
    <row r="282" ht="15" customHeight="1" spans="1:2" x14ac:dyDescent="0.25">
      <c r="A282" s="275"/>
      <c r="B282" s="3"/>
    </row>
    <row r="283" ht="15" customHeight="1" spans="1:2" x14ac:dyDescent="0.25">
      <c r="A283" s="275"/>
      <c r="B283" s="3"/>
    </row>
    <row r="284" ht="15" customHeight="1" spans="1:2" x14ac:dyDescent="0.25">
      <c r="A284" s="275"/>
      <c r="B284" s="3"/>
    </row>
    <row r="285" ht="15" customHeight="1" spans="1:2" x14ac:dyDescent="0.25">
      <c r="A285" s="275"/>
      <c r="B285" s="3"/>
    </row>
    <row r="286" ht="15" customHeight="1" spans="1:2" x14ac:dyDescent="0.25">
      <c r="A286" s="275"/>
      <c r="B286" s="3"/>
    </row>
    <row r="287" ht="15" customHeight="1" spans="1:2" x14ac:dyDescent="0.25">
      <c r="A287" s="275"/>
      <c r="B287" s="3"/>
    </row>
    <row r="288" ht="15" customHeight="1" spans="1:2" x14ac:dyDescent="0.25">
      <c r="A288" s="275"/>
      <c r="B288" s="3"/>
    </row>
    <row r="289" ht="15" customHeight="1" spans="1:2" x14ac:dyDescent="0.25">
      <c r="A289" s="275"/>
      <c r="B289" s="3"/>
    </row>
    <row r="290" ht="15" customHeight="1" spans="1:2" x14ac:dyDescent="0.25">
      <c r="A290" s="275"/>
      <c r="B290" s="3"/>
    </row>
    <row r="291" spans="1:1" x14ac:dyDescent="0.25">
      <c r="A291" s="276"/>
    </row>
    <row r="292" spans="1:1" x14ac:dyDescent="0.25">
      <c r="A292" s="276"/>
    </row>
    <row r="293" spans="1:1" x14ac:dyDescent="0.25">
      <c r="A293" s="276"/>
    </row>
    <row r="294" spans="1:1" x14ac:dyDescent="0.25">
      <c r="A294" s="276"/>
    </row>
    <row r="295" spans="1:1" x14ac:dyDescent="0.25">
      <c r="A295" s="276"/>
    </row>
    <row r="296" spans="1:1" x14ac:dyDescent="0.25">
      <c r="A296" s="276"/>
    </row>
    <row r="297" spans="1:1" x14ac:dyDescent="0.25">
      <c r="A297" s="276"/>
    </row>
    <row r="298" spans="1:1" x14ac:dyDescent="0.25">
      <c r="A298" s="276"/>
    </row>
    <row r="299" spans="1:1" x14ac:dyDescent="0.25">
      <c r="A299" s="276"/>
    </row>
    <row r="300" spans="1:1" x14ac:dyDescent="0.25">
      <c r="A300" s="276"/>
    </row>
    <row r="304" spans="1:1" x14ac:dyDescent="0.25">
      <c r="A304" s="277" t="s">
        <v>437</v>
      </c>
    </row>
    <row r="305" spans="1:1" x14ac:dyDescent="0.25">
      <c r="A305" s="277" t="s">
        <v>438</v>
      </c>
    </row>
    <row r="306" spans="1:1" x14ac:dyDescent="0.25">
      <c r="A306" s="277" t="s">
        <v>439</v>
      </c>
    </row>
    <row r="307" spans="1:1" x14ac:dyDescent="0.25">
      <c r="A307" s="277" t="s">
        <v>437</v>
      </c>
    </row>
    <row r="308" spans="1:1" x14ac:dyDescent="0.25">
      <c r="A308" s="277" t="s">
        <v>440</v>
      </c>
    </row>
    <row r="309" spans="1:1" x14ac:dyDescent="0.25">
      <c r="A309" s="277" t="s">
        <v>441</v>
      </c>
    </row>
    <row r="310" spans="1:1" x14ac:dyDescent="0.25">
      <c r="A310" s="277" t="s">
        <v>442</v>
      </c>
    </row>
    <row r="311" spans="1:1" x14ac:dyDescent="0.25">
      <c r="A311" s="277" t="s">
        <v>443</v>
      </c>
    </row>
    <row r="312" spans="1:1" x14ac:dyDescent="0.25">
      <c r="A312" s="277"/>
    </row>
    <row r="313" spans="1:1" x14ac:dyDescent="0.25">
      <c r="A313" s="277" t="s">
        <v>444</v>
      </c>
    </row>
    <row r="314" spans="1:1" x14ac:dyDescent="0.25">
      <c r="A314" s="277" t="s">
        <v>445</v>
      </c>
    </row>
    <row r="315" spans="1:1" x14ac:dyDescent="0.25">
      <c r="A315" s="277" t="s">
        <v>446</v>
      </c>
    </row>
    <row r="316" spans="1:1" x14ac:dyDescent="0.25">
      <c r="A316" s="277" t="s">
        <v>447</v>
      </c>
    </row>
    <row r="317" spans="1:1" x14ac:dyDescent="0.25">
      <c r="A317" s="277" t="s">
        <v>322</v>
      </c>
    </row>
    <row r="318" spans="1:1" x14ac:dyDescent="0.25">
      <c r="A318" s="277"/>
    </row>
    <row r="319" spans="1:1" x14ac:dyDescent="0.25">
      <c r="A319" s="277" t="s">
        <v>448</v>
      </c>
    </row>
    <row r="320" spans="1:1" x14ac:dyDescent="0.25">
      <c r="A320" s="277" t="s">
        <v>449</v>
      </c>
    </row>
    <row r="321" spans="1:1" x14ac:dyDescent="0.25">
      <c r="A321" s="277" t="s">
        <v>450</v>
      </c>
    </row>
    <row r="322" spans="1:1" x14ac:dyDescent="0.25">
      <c r="A322" s="277" t="s">
        <v>451</v>
      </c>
    </row>
    <row r="323" spans="1:1" x14ac:dyDescent="0.25">
      <c r="A323" s="277" t="s">
        <v>452</v>
      </c>
    </row>
    <row r="324" spans="1:1" x14ac:dyDescent="0.25">
      <c r="A324" s="277" t="s">
        <v>453</v>
      </c>
    </row>
    <row r="325" spans="1:1" x14ac:dyDescent="0.25">
      <c r="A325" s="277" t="s">
        <v>340</v>
      </c>
    </row>
    <row r="326" spans="1:1" x14ac:dyDescent="0.25">
      <c r="A326" s="277" t="s">
        <v>341</v>
      </c>
    </row>
    <row r="327" spans="1:1" x14ac:dyDescent="0.25">
      <c r="A327" s="277" t="s">
        <v>454</v>
      </c>
    </row>
    <row r="328" spans="1:1" x14ac:dyDescent="0.25">
      <c r="A328" s="277"/>
    </row>
    <row r="329" spans="1:1" x14ac:dyDescent="0.25">
      <c r="A329" s="277" t="s">
        <v>455</v>
      </c>
    </row>
    <row r="330" spans="1:1" x14ac:dyDescent="0.25">
      <c r="A330" s="277" t="s">
        <v>456</v>
      </c>
    </row>
    <row r="331" spans="1:1" x14ac:dyDescent="0.25">
      <c r="A331" s="277" t="s">
        <v>457</v>
      </c>
    </row>
    <row r="332" spans="1:1" x14ac:dyDescent="0.25">
      <c r="A332" s="277" t="s">
        <v>458</v>
      </c>
    </row>
    <row r="333" spans="1:1" x14ac:dyDescent="0.25">
      <c r="A333" s="277" t="s">
        <v>459</v>
      </c>
    </row>
    <row r="334" spans="1:1" x14ac:dyDescent="0.25">
      <c r="A334" s="277" t="s">
        <v>460</v>
      </c>
    </row>
    <row r="335" spans="1:1" x14ac:dyDescent="0.25">
      <c r="A335" s="277" t="s">
        <v>461</v>
      </c>
    </row>
    <row r="336" spans="1:1" x14ac:dyDescent="0.25">
      <c r="A336" s="277"/>
    </row>
    <row r="337" spans="1:1" x14ac:dyDescent="0.25">
      <c r="A337" s="277" t="s">
        <v>462</v>
      </c>
    </row>
    <row r="338" spans="1:1" x14ac:dyDescent="0.25">
      <c r="A338" s="277" t="s">
        <v>463</v>
      </c>
    </row>
    <row r="339" spans="1:1" x14ac:dyDescent="0.25">
      <c r="A339" s="277" t="s">
        <v>293</v>
      </c>
    </row>
    <row r="340" spans="1:1" x14ac:dyDescent="0.25">
      <c r="A340" s="277"/>
    </row>
    <row r="341" spans="1:1" x14ac:dyDescent="0.25">
      <c r="A341" s="277" t="s">
        <v>464</v>
      </c>
    </row>
    <row r="342" spans="1:1" x14ac:dyDescent="0.25">
      <c r="A342" s="277" t="s">
        <v>465</v>
      </c>
    </row>
    <row r="343" spans="1:1" x14ac:dyDescent="0.25">
      <c r="A343" s="277" t="s">
        <v>466</v>
      </c>
    </row>
    <row r="344" spans="1:1" x14ac:dyDescent="0.25">
      <c r="A344" s="277" t="s">
        <v>467</v>
      </c>
    </row>
    <row r="345" spans="1:1" x14ac:dyDescent="0.25">
      <c r="A345" s="277" t="s">
        <v>468</v>
      </c>
    </row>
    <row r="346" spans="1:1" x14ac:dyDescent="0.25">
      <c r="A346" s="277" t="s">
        <v>293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BF6"/>
  </sheetPr>
  <dimension ref="A1:AB219"/>
  <sheetViews>
    <sheetView workbookViewId="0" showGridLines="0" zoomScale="115" zoomScaleNormal="115">
      <pane ySplit="3" topLeftCell="A14" activePane="bottomLeft" state="frozen"/>
      <selection pane="bottomLeft" activeCell="F13" sqref="F13"/>
    </sheetView>
  </sheetViews>
  <sheetFormatPr defaultRowHeight="14.4" outlineLevelRow="0" outlineLevelCol="0" x14ac:dyDescent="0.3" customHeight="1"/>
  <cols>
    <col min="1" max="1" width="2.5546875" customWidth="1"/>
    <col min="2" max="2" width="25" customWidth="1"/>
    <col min="3" max="3" width="15.33203125" customWidth="1"/>
    <col min="4" max="4" width="2" customWidth="1"/>
    <col min="5" max="5" width="18.109375" customWidth="1"/>
    <col min="6" max="6" width="22.21875" customWidth="1"/>
    <col min="7" max="7" width="2" customWidth="1"/>
    <col min="8" max="8" width="22.21875" customWidth="1"/>
    <col min="9" max="9" width="18.109375" customWidth="1"/>
    <col min="10" max="10" width="2" customWidth="1"/>
    <col min="11" max="11" width="15.33203125" customWidth="1"/>
    <col min="12" max="12" width="25" customWidth="1"/>
    <col min="13" max="13" width="18.109375" customWidth="1"/>
    <col min="14" max="14" width="2.5546875" customWidth="1"/>
  </cols>
  <sheetData>
    <row r="1" ht="13.5" customHeight="1" spans="1:28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AA1" s="6"/>
      <c r="AB1" s="6"/>
    </row>
    <row r="2" ht="19.5" customHeight="1" spans="1:28" x14ac:dyDescent="0.25">
      <c r="A2" s="81" t="s">
        <v>0</v>
      </c>
      <c r="B2" s="82" t="s">
        <v>1</v>
      </c>
      <c r="C2" s="3"/>
      <c r="D2" s="3"/>
      <c r="E2" s="3"/>
      <c r="F2" s="3"/>
      <c r="G2" s="3"/>
      <c r="H2" s="3"/>
      <c r="I2" s="3"/>
      <c r="J2" s="3"/>
      <c r="K2" s="3"/>
      <c r="L2" s="83" t="s">
        <v>2</v>
      </c>
      <c r="M2" s="84"/>
      <c r="N2" s="3"/>
      <c r="AA2" s="6"/>
      <c r="AB2" s="6"/>
    </row>
    <row r="3" ht="13.5" customHeight="1" spans="1:28" x14ac:dyDescent="0.25">
      <c r="A3" s="3"/>
      <c r="B3" s="85" t="s">
        <v>34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AA3" s="6"/>
      <c r="AB3" s="6"/>
    </row>
    <row r="4" ht="10.5" customHeight="1" spans="1:28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AA4" s="6"/>
      <c r="AB4" s="6"/>
    </row>
    <row r="5" ht="10.5" customHeight="1" spans="1:28" x14ac:dyDescent="0.25">
      <c r="A5" s="3"/>
      <c r="B5" s="86"/>
      <c r="C5" s="87"/>
      <c r="D5" s="3"/>
      <c r="E5" s="86"/>
      <c r="F5" s="87"/>
      <c r="G5" s="3"/>
      <c r="H5" s="86"/>
      <c r="I5" s="87"/>
      <c r="J5" s="3"/>
      <c r="K5" s="86"/>
      <c r="L5" s="87"/>
      <c r="M5" s="3"/>
      <c r="N5" s="3"/>
      <c r="AA5" s="6"/>
      <c r="AB5" s="6"/>
    </row>
    <row r="6" ht="16.5" customHeight="1" spans="1:28" x14ac:dyDescent="0.25">
      <c r="A6" s="3"/>
      <c r="B6" s="88" t="s">
        <v>35</v>
      </c>
      <c r="C6" s="89" t="str">
        <f>"▲  "&amp;TEXT(IF($F$12=0,0,$B$7/$F$12),"0.0%")&amp;"  of target"</f>
        <v>▲  1.9%  of target</v>
      </c>
      <c r="D6" s="3"/>
      <c r="E6" s="88" t="s">
        <v>36</v>
      </c>
      <c r="F6" s="89" t="str">
        <f>"▲  "&amp;TEXT(IF($B$7=0,0,$E$7/$B$7),"0.00%")&amp;"  of sales"</f>
        <v>▲  0.35%  of sales</v>
      </c>
      <c r="G6" s="3"/>
      <c r="H6" s="88" t="s">
        <v>37</v>
      </c>
      <c r="I6" s="90" t="str">
        <f>"●  "&amp;TEXT(SUM(tblLines[Weight (KG)]),"#,##0")&amp;"  KG"</f>
        <v>●  841,180  KG</v>
      </c>
      <c r="J6" s="3"/>
      <c r="K6" s="88" t="s">
        <v>38</v>
      </c>
      <c r="L6" s="91" t="str">
        <f>"●  "&amp;TEXT(SUM(tblLines[Qty (Packs)]),"#,##0")&amp;"  packs"</f>
        <v>●  33,509  packs</v>
      </c>
      <c r="M6" s="3"/>
      <c r="N6" s="3"/>
      <c r="AA6" s="6"/>
      <c r="AB6" s="6"/>
    </row>
    <row r="7" ht="27" customHeight="1" spans="1:28" x14ac:dyDescent="0.25">
      <c r="A7" s="3"/>
      <c r="B7" s="92">
        <f>SUM(tblLines[Amount])</f>
        <v>193457434</v>
      </c>
      <c r="C7" s="93"/>
      <c r="D7" s="3"/>
      <c r="E7" s="94">
        <f>SUM(tblLines[Commission])</f>
        <v>677101.0190000001</v>
      </c>
      <c r="F7" s="93"/>
      <c r="G7" s="3"/>
      <c r="H7" s="94">
        <f>SUM(tblLines[Weight (KG)])/1000</f>
        <v>841.18</v>
      </c>
      <c r="I7" s="93"/>
      <c r="J7" s="3"/>
      <c r="K7" s="92">
        <f t="array" ref="K7">COUNTA(_xlfn.UNIQUE(_xlfn._xlws.FILTER(tblLines[Invoice '#],tblLines[Invoice '#]&lt;&gt;"")))</f>
        <v>35</v>
      </c>
      <c r="L7" s="93"/>
      <c r="M7" s="3"/>
      <c r="N7" s="3"/>
      <c r="AA7" s="6"/>
      <c r="AB7" s="6"/>
    </row>
    <row r="8" ht="10.5" customHeight="1" spans="1:28" x14ac:dyDescent="0.25">
      <c r="A8" s="3"/>
      <c r="B8" s="95"/>
      <c r="C8" s="96"/>
      <c r="D8" s="3"/>
      <c r="E8" s="95"/>
      <c r="F8" s="96"/>
      <c r="G8" s="3"/>
      <c r="H8" s="95"/>
      <c r="I8" s="96"/>
      <c r="J8" s="3"/>
      <c r="K8" s="95"/>
      <c r="L8" s="96"/>
      <c r="M8" s="3"/>
      <c r="N8" s="3"/>
      <c r="AA8" s="6"/>
      <c r="AB8" s="6"/>
    </row>
    <row r="9" ht="12" customHeight="1" spans="1:2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AA9" s="6"/>
      <c r="AB9" s="6"/>
    </row>
    <row r="10" ht="10.5" customHeight="1" spans="1:28" x14ac:dyDescent="0.25">
      <c r="A10" s="3"/>
      <c r="B10" s="86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87"/>
      <c r="N10" s="3"/>
      <c r="AA10" s="6"/>
      <c r="AB10" s="6"/>
    </row>
    <row r="11" ht="18" customHeight="1" spans="1:28" x14ac:dyDescent="0.25">
      <c r="A11" s="3"/>
      <c r="B11" s="98" t="s">
        <v>39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  <c r="N11" s="3"/>
      <c r="AA11" s="6"/>
      <c r="AB11" s="6"/>
    </row>
    <row r="12" ht="18" customHeight="1" spans="1:28" x14ac:dyDescent="0.25">
      <c r="A12" s="3"/>
      <c r="B12" s="101" t="s">
        <v>40</v>
      </c>
      <c r="C12" s="99"/>
      <c r="D12" s="99"/>
      <c r="E12" s="99"/>
      <c r="F12" s="102">
        <v>10000000000</v>
      </c>
      <c r="G12" s="99"/>
      <c r="H12" s="103" t="s">
        <v>41</v>
      </c>
      <c r="I12" s="99"/>
      <c r="J12" s="99"/>
      <c r="K12" s="99"/>
      <c r="L12" s="99"/>
      <c r="M12" s="100"/>
      <c r="N12" s="3"/>
      <c r="AA12" s="6"/>
      <c r="AB12" s="6"/>
    </row>
    <row r="13" ht="18" customHeight="1" spans="1:28" x14ac:dyDescent="0.25">
      <c r="A13" s="3"/>
      <c r="B13" s="101" t="s">
        <v>42</v>
      </c>
      <c r="C13" s="99"/>
      <c r="D13" s="99"/>
      <c r="E13" s="99"/>
      <c r="F13" s="104">
        <f>$B$7</f>
        <v>193457434</v>
      </c>
      <c r="G13" s="99"/>
      <c r="H13" s="99"/>
      <c r="I13" s="99"/>
      <c r="J13" s="99"/>
      <c r="K13" s="99"/>
      <c r="L13" s="99"/>
      <c r="M13" s="100"/>
      <c r="N13" s="3"/>
      <c r="AA13" s="6"/>
      <c r="AB13" s="6"/>
    </row>
    <row r="14" ht="18" customHeight="1" spans="1:28" x14ac:dyDescent="0.25">
      <c r="A14" s="3"/>
      <c r="B14" s="101" t="s">
        <v>43</v>
      </c>
      <c r="C14" s="99"/>
      <c r="D14" s="99"/>
      <c r="E14" s="99"/>
      <c r="F14" s="105">
        <f>IF($F$12=0,"",F13/$F$12)</f>
        <v>0.0193457434</v>
      </c>
      <c r="G14" s="99"/>
      <c r="H14" s="99"/>
      <c r="I14" s="99"/>
      <c r="J14" s="99"/>
      <c r="K14" s="106">
        <f>F14</f>
        <v>0.0193457434</v>
      </c>
      <c r="L14" s="107">
        <f>IFERROR(F14,0)</f>
        <v>0.0193457434</v>
      </c>
      <c r="M14" s="100"/>
      <c r="N14" s="3"/>
      <c r="AA14" s="6"/>
      <c r="AB14" s="6"/>
    </row>
    <row r="15" ht="18" customHeight="1" spans="1:28" x14ac:dyDescent="0.25">
      <c r="A15" s="3"/>
      <c r="B15" s="101" t="s">
        <v>44</v>
      </c>
      <c r="C15" s="99"/>
      <c r="D15" s="99"/>
      <c r="E15" s="99"/>
      <c r="F15" s="104">
        <f>IF($F$12=0,"",MAX(0,$F$12-F13))</f>
        <v>9806542566</v>
      </c>
      <c r="G15" s="99"/>
      <c r="H15" s="99"/>
      <c r="I15" s="99"/>
      <c r="J15" s="99"/>
      <c r="K15" s="99"/>
      <c r="L15" s="99"/>
      <c r="M15" s="100"/>
      <c r="N15" s="3"/>
      <c r="AA15" s="6"/>
      <c r="AB15" s="6"/>
    </row>
    <row r="16" ht="18" customHeight="1" spans="1:28" x14ac:dyDescent="0.25">
      <c r="A16" s="3"/>
      <c r="B16" s="101" t="s">
        <v>45</v>
      </c>
      <c r="C16" s="99"/>
      <c r="D16" s="99"/>
      <c r="E16" s="99"/>
      <c r="F16" s="104">
        <f>IF($F$12=0,"",$F$12/12)</f>
        <v>833333333.3333334</v>
      </c>
      <c r="G16" s="99"/>
      <c r="H16" s="99"/>
      <c r="I16" s="99"/>
      <c r="J16" s="99"/>
      <c r="K16" s="99"/>
      <c r="L16" s="99"/>
      <c r="M16" s="100"/>
      <c r="N16" s="3"/>
      <c r="AA16" s="6"/>
      <c r="AB16" s="6"/>
    </row>
    <row r="17" ht="10.5" customHeight="1" spans="1:28" x14ac:dyDescent="0.25">
      <c r="A17" s="3"/>
      <c r="B17" s="95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96"/>
      <c r="N17" s="3"/>
      <c r="AA17" s="6"/>
      <c r="AB17" s="6"/>
    </row>
    <row r="18" ht="12" customHeight="1" spans="1:28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AA18" s="6"/>
      <c r="AB18" s="6"/>
    </row>
    <row r="19" ht="10.5" customHeight="1" spans="1:28" x14ac:dyDescent="0.25">
      <c r="A19" s="3"/>
      <c r="B19" s="86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87"/>
      <c r="N19" s="3"/>
      <c r="AA19" s="6"/>
      <c r="AB19" s="6"/>
    </row>
    <row r="20" ht="18" customHeight="1" spans="1:28" x14ac:dyDescent="0.25">
      <c r="A20" s="3"/>
      <c r="B20" s="98" t="s">
        <v>46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100"/>
      <c r="N20" s="3"/>
      <c r="AA20" s="6"/>
      <c r="AB20" s="6"/>
    </row>
    <row r="21" ht="16.5" customHeight="1" spans="1:28" x14ac:dyDescent="0.25">
      <c r="A21" s="3"/>
      <c r="B21" s="109" t="s">
        <v>47</v>
      </c>
      <c r="C21" s="110"/>
      <c r="D21" s="110"/>
      <c r="E21" s="111" t="s">
        <v>48</v>
      </c>
      <c r="F21" s="111" t="s">
        <v>49</v>
      </c>
      <c r="G21" s="110"/>
      <c r="H21" s="111" t="s">
        <v>50</v>
      </c>
      <c r="I21" s="111" t="s">
        <v>51</v>
      </c>
      <c r="J21" s="110"/>
      <c r="K21" s="111" t="s">
        <v>52</v>
      </c>
      <c r="L21" s="112" t="s">
        <v>53</v>
      </c>
      <c r="M21" s="100"/>
      <c r="N21" s="3"/>
      <c r="AA21" s="6"/>
      <c r="AB21" s="6"/>
    </row>
    <row r="22" ht="18" customHeight="1" spans="1:28" x14ac:dyDescent="0.25">
      <c r="A22" s="3"/>
      <c r="B22" s="113" t="s">
        <v>54</v>
      </c>
      <c r="C22" s="97"/>
      <c r="D22" s="97"/>
      <c r="E22" s="114">
        <f t="shared" ref="E22:F24" si="0">SUMIF($M$48:$M$87,$B22,E$48:E$87)</f>
        <v>31474</v>
      </c>
      <c r="F22" s="114">
        <f t="shared" si="0"/>
        <v>790305</v>
      </c>
      <c r="G22" s="115"/>
      <c r="H22" s="116">
        <f t="shared" ref="H22:I24" si="1">SUMIF($M$48:$M$87,$B22,H$48:H$87)</f>
        <v>180027193</v>
      </c>
      <c r="I22" s="117">
        <f t="shared" si="1"/>
        <v>630095.1755000001</v>
      </c>
      <c r="J22" s="115"/>
      <c r="K22" s="118">
        <f>IF($B$7=0,"",H22/$B$7)</f>
        <v>0.9305777983181561</v>
      </c>
      <c r="L22" s="97">
        <f>IFERROR(K22,0)</f>
        <v>0.9305777983181561</v>
      </c>
      <c r="M22" s="87"/>
      <c r="N22" s="3"/>
      <c r="AA22" s="6"/>
      <c r="AB22" s="6"/>
    </row>
    <row r="23" ht="18" customHeight="1" spans="1:28" x14ac:dyDescent="0.25">
      <c r="A23" s="3"/>
      <c r="B23" s="119" t="s">
        <v>55</v>
      </c>
      <c r="C23" s="120"/>
      <c r="D23" s="120"/>
      <c r="E23" s="121">
        <f t="shared" si="0"/>
        <v>2035</v>
      </c>
      <c r="F23" s="121">
        <f t="shared" si="0"/>
        <v>50875</v>
      </c>
      <c r="G23" s="122"/>
      <c r="H23" s="123">
        <f t="shared" si="1"/>
        <v>13430241</v>
      </c>
      <c r="I23" s="124">
        <f t="shared" si="1"/>
        <v>47005.8435</v>
      </c>
      <c r="J23" s="122"/>
      <c r="K23" s="125">
        <f>IF($B$7=0,"",H23/$B$7)</f>
        <v>0.06942220168184388</v>
      </c>
      <c r="L23" s="120">
        <f>IFERROR(K23,0)</f>
        <v>0.06942220168184388</v>
      </c>
      <c r="M23" s="126"/>
      <c r="N23" s="3"/>
      <c r="AA23" s="6"/>
      <c r="AB23" s="6"/>
    </row>
    <row r="24" ht="18" customHeight="1" spans="1:28" x14ac:dyDescent="0.25">
      <c r="A24" s="3"/>
      <c r="B24" s="127" t="s">
        <v>56</v>
      </c>
      <c r="C24" s="128"/>
      <c r="D24" s="128"/>
      <c r="E24" s="129">
        <f t="shared" si="0"/>
        <v>0</v>
      </c>
      <c r="F24" s="129">
        <f t="shared" si="0"/>
        <v>0</v>
      </c>
      <c r="G24" s="130"/>
      <c r="H24" s="131">
        <f t="shared" si="1"/>
        <v>0</v>
      </c>
      <c r="I24" s="132">
        <f t="shared" si="1"/>
        <v>0</v>
      </c>
      <c r="J24" s="130"/>
      <c r="K24" s="133">
        <f>IF($B$7=0,"",H24/$B$7)</f>
        <v>0</v>
      </c>
      <c r="L24" s="128">
        <f>IFERROR(K24,0)</f>
        <v>0</v>
      </c>
      <c r="M24" s="134"/>
      <c r="N24" s="3"/>
      <c r="AA24" s="6"/>
      <c r="AB24" s="6"/>
    </row>
    <row r="25" ht="19.5" customHeight="1" spans="1:28" x14ac:dyDescent="0.25">
      <c r="A25" s="3"/>
      <c r="B25" s="135" t="s">
        <v>57</v>
      </c>
      <c r="C25" s="136"/>
      <c r="D25" s="136"/>
      <c r="E25" s="137">
        <f>SUM(E22:E24)</f>
        <v>33509</v>
      </c>
      <c r="F25" s="137">
        <f>SUM(F22:F24)</f>
        <v>841180</v>
      </c>
      <c r="G25" s="138"/>
      <c r="H25" s="137">
        <f>SUM(H22:H24)</f>
        <v>193457434</v>
      </c>
      <c r="I25" s="139">
        <f>SUM(I22:I24)</f>
        <v>677101.0190000001</v>
      </c>
      <c r="J25" s="138"/>
      <c r="K25" s="140">
        <f>IF($B$7=0,"",H25/$B$7)</f>
        <v>1</v>
      </c>
      <c r="L25" s="141"/>
      <c r="M25" s="142"/>
      <c r="N25" s="3"/>
      <c r="AA25" s="6"/>
      <c r="AB25" s="6"/>
    </row>
    <row r="26" ht="10.5" customHeight="1" spans="1:28" x14ac:dyDescent="0.25">
      <c r="A26" s="3"/>
      <c r="B26" s="95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96"/>
      <c r="N26" s="3"/>
      <c r="AA26" s="6"/>
      <c r="AB26" s="6"/>
    </row>
    <row r="27" ht="12" customHeight="1" spans="1:28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AA27" s="6"/>
      <c r="AB27" s="6"/>
    </row>
    <row r="28" ht="10.5" customHeight="1" spans="1:28" x14ac:dyDescent="0.25">
      <c r="A28" s="3"/>
      <c r="B28" s="86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87"/>
      <c r="N28" s="3"/>
      <c r="AA28" s="6"/>
      <c r="AB28" s="6"/>
    </row>
    <row r="29" ht="18" customHeight="1" spans="1:28" x14ac:dyDescent="0.25">
      <c r="A29" s="3"/>
      <c r="B29" s="98" t="s">
        <v>58</v>
      </c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100"/>
      <c r="N29" s="3"/>
      <c r="AA29" s="6"/>
      <c r="AB29" s="6"/>
    </row>
    <row r="30" ht="16.5" customHeight="1" spans="1:28" x14ac:dyDescent="0.25">
      <c r="A30" s="3"/>
      <c r="B30" s="109" t="s">
        <v>59</v>
      </c>
      <c r="C30" s="110"/>
      <c r="D30" s="110"/>
      <c r="E30" s="111" t="s">
        <v>48</v>
      </c>
      <c r="F30" s="111" t="s">
        <v>49</v>
      </c>
      <c r="G30" s="110"/>
      <c r="H30" s="111" t="s">
        <v>50</v>
      </c>
      <c r="I30" s="111" t="s">
        <v>51</v>
      </c>
      <c r="J30" s="110"/>
      <c r="K30" s="111" t="s">
        <v>52</v>
      </c>
      <c r="L30" s="112" t="s">
        <v>53</v>
      </c>
      <c r="M30" s="100"/>
      <c r="N30" s="3"/>
      <c r="AA30" s="6"/>
      <c r="AB30" s="6"/>
    </row>
    <row r="31" ht="18" customHeight="1" spans="1:28" x14ac:dyDescent="0.25">
      <c r="A31" s="3"/>
      <c r="B31" s="113" t="str">
        <f t="array" ref="B31:B32">_xlfn._xlws.SORT(_xlfn.UNIQUE(_xlfn._xlws.FILTER(TRIM(tblLines[ASM / Salesperson]),TRIM(tblLines[ASM / Salesperson])&lt;&gt;"")))</f>
        <v>Arslan Ahmed Dar</v>
      </c>
      <c r="C31" s="97"/>
      <c r="D31" s="97"/>
      <c r="E31" s="114">
        <f t="array" ref="E31">IF($B31="","",SUMPRODUCT((TRIM(tblLines[ASM / Salesperson])=$B31)*IF(ISNUMBER(tblLines[Qty (Packs)]),tblLines[Qty (Packs)],0)))</f>
        <v>3276</v>
      </c>
      <c r="F31" s="114">
        <f t="array" ref="F31">IF($B31="","",SUMPRODUCT((TRIM(tblLines[ASM / Salesperson])=$B31)*IF(ISNUMBER(tblLines[Weight (KG)]),tblLines[Weight (KG)],0)))</f>
        <v>82500</v>
      </c>
      <c r="G31" s="115"/>
      <c r="H31" s="116">
        <f t="array" ref="H31">IF($B31="","",SUMPRODUCT((TRIM(tblLines[ASM / Salesperson])=$B31)*IF(ISNUMBER(tblLines[Amount]),tblLines[Amount],0)))</f>
        <v>24636878</v>
      </c>
      <c r="I31" s="117">
        <f t="array" ref="I31">IF($B31="","",SUMPRODUCT((TRIM(tblLines[ASM / Salesperson])=$B31)*IF(ISNUMBER(tblLines[Commission]),tblLines[Commission],0)))</f>
        <v>86229.07299999999</v>
      </c>
      <c r="J31" s="115"/>
      <c r="K31" s="118">
        <f t="shared" ref="K31:K42" si="2">IF($B31="","",H31/$B$7)</f>
        <v>0.1273503813764014</v>
      </c>
      <c r="L31" s="97">
        <f t="shared" ref="L31:L42" si="3">IFERROR(K31,0)</f>
        <v>0.1273503813764014</v>
      </c>
      <c r="M31" s="87"/>
      <c r="N31" s="3"/>
      <c r="AA31" s="6"/>
      <c r="AB31" s="6"/>
    </row>
    <row r="32" ht="18" customHeight="1" spans="1:28" x14ac:dyDescent="0.25">
      <c r="A32" s="3"/>
      <c r="B32" s="119" t="s">
        <v>60</v>
      </c>
      <c r="C32" s="120"/>
      <c r="D32" s="120"/>
      <c r="E32" s="121">
        <f t="array" ref="E32">IF($B32="","",SUMPRODUCT((TRIM(tblLines[ASM / Salesperson])=$B32)*IF(ISNUMBER(tblLines[Qty (Packs)]),tblLines[Qty (Packs)],0)))</f>
        <v>30233</v>
      </c>
      <c r="F32" s="121">
        <f t="array" ref="F32">IF($B32="","",SUMPRODUCT((TRIM(tblLines[ASM / Salesperson])=$B32)*IF(ISNUMBER(tblLines[Weight (KG)]),tblLines[Weight (KG)],0)))</f>
        <v>758680</v>
      </c>
      <c r="G32" s="122"/>
      <c r="H32" s="123">
        <f t="array" ref="H32">IF($B32="","",SUMPRODUCT((TRIM(tblLines[ASM / Salesperson])=$B32)*IF(ISNUMBER(tblLines[Amount]),tblLines[Amount],0)))</f>
        <v>168820556</v>
      </c>
      <c r="I32" s="124">
        <f t="array" ref="I32">IF($B32="","",SUMPRODUCT((TRIM(tblLines[ASM / Salesperson])=$B32)*IF(ISNUMBER(tblLines[Commission]),tblLines[Commission],0)))</f>
        <v>590871.946</v>
      </c>
      <c r="J32" s="122"/>
      <c r="K32" s="125">
        <f t="shared" si="2"/>
        <v>0.8726496186235986</v>
      </c>
      <c r="L32" s="120">
        <f t="shared" si="3"/>
        <v>0.8726496186235986</v>
      </c>
      <c r="M32" s="126"/>
      <c r="N32" s="3"/>
      <c r="AA32" s="6"/>
      <c r="AB32" s="6"/>
    </row>
    <row r="33" ht="18" customHeight="1" spans="1:28" x14ac:dyDescent="0.25">
      <c r="A33" s="3"/>
      <c r="B33" s="119"/>
      <c r="C33" s="120"/>
      <c r="D33" s="120"/>
      <c r="E33" s="121">
        <f t="array" ref="E33">IF($B33="","",SUMPRODUCT((TRIM(tblLines[ASM / Salesperson])=$B33)*IF(ISNUMBER(tblLines[Qty (Packs)]),tblLines[Qty (Packs)],0)))</f>
      </c>
      <c r="F33" s="121">
        <f t="array" ref="F33">IF($B33="","",SUMPRODUCT((TRIM(tblLines[ASM / Salesperson])=$B33)*IF(ISNUMBER(tblLines[Weight (KG)]),tblLines[Weight (KG)],0)))</f>
      </c>
      <c r="G33" s="122"/>
      <c r="H33" s="123">
        <f t="array" ref="H33">IF($B33="","",SUMPRODUCT((TRIM(tblLines[ASM / Salesperson])=$B33)*IF(ISNUMBER(tblLines[Amount]),tblLines[Amount],0)))</f>
      </c>
      <c r="I33" s="124">
        <f t="array" ref="I33">IF($B33="","",SUMPRODUCT((TRIM(tblLines[ASM / Salesperson])=$B33)*IF(ISNUMBER(tblLines[Commission]),tblLines[Commission],0)))</f>
      </c>
      <c r="J33" s="122"/>
      <c r="K33" s="125">
        <f t="shared" si="2"/>
      </c>
      <c r="L33" s="120">
        <f t="shared" si="3"/>
      </c>
      <c r="M33" s="126"/>
      <c r="N33" s="3"/>
      <c r="AA33" s="6"/>
      <c r="AB33" s="6"/>
    </row>
    <row r="34" ht="18" customHeight="1" spans="1:28" x14ac:dyDescent="0.25">
      <c r="A34" s="3"/>
      <c r="B34" s="119"/>
      <c r="C34" s="120"/>
      <c r="D34" s="120"/>
      <c r="E34" s="121">
        <f t="array" ref="E34">IF($B34="","",SUMPRODUCT((TRIM(tblLines[ASM / Salesperson])=$B34)*IF(ISNUMBER(tblLines[Qty (Packs)]),tblLines[Qty (Packs)],0)))</f>
      </c>
      <c r="F34" s="121">
        <f t="array" ref="F34">IF($B34="","",SUMPRODUCT((TRIM(tblLines[ASM / Salesperson])=$B34)*IF(ISNUMBER(tblLines[Weight (KG)]),tblLines[Weight (KG)],0)))</f>
      </c>
      <c r="G34" s="122"/>
      <c r="H34" s="123">
        <f t="array" ref="H34">IF($B34="","",SUMPRODUCT((TRIM(tblLines[ASM / Salesperson])=$B34)*IF(ISNUMBER(tblLines[Amount]),tblLines[Amount],0)))</f>
      </c>
      <c r="I34" s="124">
        <f t="array" ref="I34">IF($B34="","",SUMPRODUCT((TRIM(tblLines[ASM / Salesperson])=$B34)*IF(ISNUMBER(tblLines[Commission]),tblLines[Commission],0)))</f>
      </c>
      <c r="J34" s="122"/>
      <c r="K34" s="125">
        <f t="shared" si="2"/>
      </c>
      <c r="L34" s="120">
        <f t="shared" si="3"/>
      </c>
      <c r="M34" s="126"/>
      <c r="N34" s="3"/>
      <c r="AA34" s="6"/>
      <c r="AB34" s="6"/>
    </row>
    <row r="35" ht="18" customHeight="1" spans="1:28" x14ac:dyDescent="0.25">
      <c r="A35" s="3"/>
      <c r="B35" s="119"/>
      <c r="C35" s="120"/>
      <c r="D35" s="120"/>
      <c r="E35" s="121">
        <f t="array" ref="E35">IF($B35="","",SUMPRODUCT((TRIM(tblLines[ASM / Salesperson])=$B35)*IF(ISNUMBER(tblLines[Qty (Packs)]),tblLines[Qty (Packs)],0)))</f>
      </c>
      <c r="F35" s="121">
        <f t="array" ref="F35">IF($B35="","",SUMPRODUCT((TRIM(tblLines[ASM / Salesperson])=$B35)*IF(ISNUMBER(tblLines[Weight (KG)]),tblLines[Weight (KG)],0)))</f>
      </c>
      <c r="G35" s="122"/>
      <c r="H35" s="123">
        <f t="array" ref="H35">IF($B35="","",SUMPRODUCT((TRIM(tblLines[ASM / Salesperson])=$B35)*IF(ISNUMBER(tblLines[Amount]),tblLines[Amount],0)))</f>
      </c>
      <c r="I35" s="124">
        <f t="array" ref="I35">IF($B35="","",SUMPRODUCT((TRIM(tblLines[ASM / Salesperson])=$B35)*IF(ISNUMBER(tblLines[Commission]),tblLines[Commission],0)))</f>
      </c>
      <c r="J35" s="122"/>
      <c r="K35" s="125">
        <f t="shared" si="2"/>
      </c>
      <c r="L35" s="120">
        <f t="shared" si="3"/>
      </c>
      <c r="M35" s="126"/>
      <c r="N35" s="3"/>
      <c r="AA35" s="6"/>
      <c r="AB35" s="6"/>
    </row>
    <row r="36" ht="18" customHeight="1" spans="1:28" x14ac:dyDescent="0.25">
      <c r="A36" s="3"/>
      <c r="B36" s="119"/>
      <c r="C36" s="120"/>
      <c r="D36" s="120"/>
      <c r="E36" s="121">
        <f t="array" ref="E36">IF($B36="","",SUMPRODUCT((TRIM(tblLines[ASM / Salesperson])=$B36)*IF(ISNUMBER(tblLines[Qty (Packs)]),tblLines[Qty (Packs)],0)))</f>
      </c>
      <c r="F36" s="121">
        <f t="array" ref="F36">IF($B36="","",SUMPRODUCT((TRIM(tblLines[ASM / Salesperson])=$B36)*IF(ISNUMBER(tblLines[Weight (KG)]),tblLines[Weight (KG)],0)))</f>
      </c>
      <c r="G36" s="122"/>
      <c r="H36" s="123">
        <f t="array" ref="H36">IF($B36="","",SUMPRODUCT((TRIM(tblLines[ASM / Salesperson])=$B36)*IF(ISNUMBER(tblLines[Amount]),tblLines[Amount],0)))</f>
      </c>
      <c r="I36" s="124">
        <f t="array" ref="I36">IF($B36="","",SUMPRODUCT((TRIM(tblLines[ASM / Salesperson])=$B36)*IF(ISNUMBER(tblLines[Commission]),tblLines[Commission],0)))</f>
      </c>
      <c r="J36" s="122"/>
      <c r="K36" s="125">
        <f t="shared" si="2"/>
      </c>
      <c r="L36" s="120">
        <f t="shared" si="3"/>
      </c>
      <c r="M36" s="126"/>
      <c r="N36" s="3"/>
      <c r="AA36" s="6"/>
      <c r="AB36" s="6"/>
    </row>
    <row r="37" ht="18" customHeight="1" spans="1:28" x14ac:dyDescent="0.25">
      <c r="A37" s="3"/>
      <c r="B37" s="119"/>
      <c r="C37" s="120"/>
      <c r="D37" s="120"/>
      <c r="E37" s="121">
        <f t="array" ref="E37">IF($B37="","",SUMPRODUCT((TRIM(tblLines[ASM / Salesperson])=$B37)*IF(ISNUMBER(tblLines[Qty (Packs)]),tblLines[Qty (Packs)],0)))</f>
      </c>
      <c r="F37" s="121">
        <f t="array" ref="F37">IF($B37="","",SUMPRODUCT((TRIM(tblLines[ASM / Salesperson])=$B37)*IF(ISNUMBER(tblLines[Weight (KG)]),tblLines[Weight (KG)],0)))</f>
      </c>
      <c r="G37" s="122"/>
      <c r="H37" s="123">
        <f t="array" ref="H37">IF($B37="","",SUMPRODUCT((TRIM(tblLines[ASM / Salesperson])=$B37)*IF(ISNUMBER(tblLines[Amount]),tblLines[Amount],0)))</f>
      </c>
      <c r="I37" s="124">
        <f t="array" ref="I37">IF($B37="","",SUMPRODUCT((TRIM(tblLines[ASM / Salesperson])=$B37)*IF(ISNUMBER(tblLines[Commission]),tblLines[Commission],0)))</f>
      </c>
      <c r="J37" s="122"/>
      <c r="K37" s="125">
        <f t="shared" si="2"/>
      </c>
      <c r="L37" s="120">
        <f t="shared" si="3"/>
      </c>
      <c r="M37" s="126"/>
      <c r="N37" s="3"/>
      <c r="AA37" s="6"/>
      <c r="AB37" s="6"/>
    </row>
    <row r="38" ht="18" customHeight="1" spans="1:28" x14ac:dyDescent="0.25">
      <c r="A38" s="3"/>
      <c r="B38" s="119"/>
      <c r="C38" s="120"/>
      <c r="D38" s="120"/>
      <c r="E38" s="121">
        <f t="array" ref="E38">IF($B38="","",SUMPRODUCT((TRIM(tblLines[ASM / Salesperson])=$B38)*IF(ISNUMBER(tblLines[Qty (Packs)]),tblLines[Qty (Packs)],0)))</f>
      </c>
      <c r="F38" s="121">
        <f t="array" ref="F38">IF($B38="","",SUMPRODUCT((TRIM(tblLines[ASM / Salesperson])=$B38)*IF(ISNUMBER(tblLines[Weight (KG)]),tblLines[Weight (KG)],0)))</f>
      </c>
      <c r="G38" s="122"/>
      <c r="H38" s="123">
        <f t="array" ref="H38">IF($B38="","",SUMPRODUCT((TRIM(tblLines[ASM / Salesperson])=$B38)*IF(ISNUMBER(tblLines[Amount]),tblLines[Amount],0)))</f>
      </c>
      <c r="I38" s="124">
        <f t="array" ref="I38">IF($B38="","",SUMPRODUCT((TRIM(tblLines[ASM / Salesperson])=$B38)*IF(ISNUMBER(tblLines[Commission]),tblLines[Commission],0)))</f>
      </c>
      <c r="J38" s="122"/>
      <c r="K38" s="125">
        <f t="shared" si="2"/>
      </c>
      <c r="L38" s="120">
        <f t="shared" si="3"/>
      </c>
      <c r="M38" s="126"/>
      <c r="N38" s="3"/>
      <c r="AA38" s="6"/>
      <c r="AB38" s="6"/>
    </row>
    <row r="39" ht="18" customHeight="1" spans="1:28" x14ac:dyDescent="0.25">
      <c r="A39" s="3"/>
      <c r="B39" s="119"/>
      <c r="C39" s="120"/>
      <c r="D39" s="120"/>
      <c r="E39" s="121">
        <f t="array" ref="E39">IF($B39="","",SUMPRODUCT((TRIM(tblLines[ASM / Salesperson])=$B39)*IF(ISNUMBER(tblLines[Qty (Packs)]),tblLines[Qty (Packs)],0)))</f>
      </c>
      <c r="F39" s="121">
        <f t="array" ref="F39">IF($B39="","",SUMPRODUCT((TRIM(tblLines[ASM / Salesperson])=$B39)*IF(ISNUMBER(tblLines[Weight (KG)]),tblLines[Weight (KG)],0)))</f>
      </c>
      <c r="G39" s="122"/>
      <c r="H39" s="123">
        <f t="array" ref="H39">IF($B39="","",SUMPRODUCT((TRIM(tblLines[ASM / Salesperson])=$B39)*IF(ISNUMBER(tblLines[Amount]),tblLines[Amount],0)))</f>
      </c>
      <c r="I39" s="124">
        <f t="array" ref="I39">IF($B39="","",SUMPRODUCT((TRIM(tblLines[ASM / Salesperson])=$B39)*IF(ISNUMBER(tblLines[Commission]),tblLines[Commission],0)))</f>
      </c>
      <c r="J39" s="122"/>
      <c r="K39" s="125">
        <f t="shared" si="2"/>
      </c>
      <c r="L39" s="120">
        <f t="shared" si="3"/>
      </c>
      <c r="M39" s="126"/>
      <c r="N39" s="3"/>
      <c r="AA39" s="6"/>
      <c r="AB39" s="6"/>
    </row>
    <row r="40" ht="18" customHeight="1" spans="1:28" x14ac:dyDescent="0.25">
      <c r="A40" s="3"/>
      <c r="B40" s="119"/>
      <c r="C40" s="120"/>
      <c r="D40" s="120"/>
      <c r="E40" s="121">
        <f t="array" ref="E40">IF($B40="","",SUMPRODUCT((TRIM(tblLines[ASM / Salesperson])=$B40)*IF(ISNUMBER(tblLines[Qty (Packs)]),tblLines[Qty (Packs)],0)))</f>
      </c>
      <c r="F40" s="121">
        <f t="array" ref="F40">IF($B40="","",SUMPRODUCT((TRIM(tblLines[ASM / Salesperson])=$B40)*IF(ISNUMBER(tblLines[Weight (KG)]),tblLines[Weight (KG)],0)))</f>
      </c>
      <c r="G40" s="122"/>
      <c r="H40" s="123">
        <f t="array" ref="H40">IF($B40="","",SUMPRODUCT((TRIM(tblLines[ASM / Salesperson])=$B40)*IF(ISNUMBER(tblLines[Amount]),tblLines[Amount],0)))</f>
      </c>
      <c r="I40" s="124">
        <f t="array" ref="I40">IF($B40="","",SUMPRODUCT((TRIM(tblLines[ASM / Salesperson])=$B40)*IF(ISNUMBER(tblLines[Commission]),tblLines[Commission],0)))</f>
      </c>
      <c r="J40" s="122"/>
      <c r="K40" s="125">
        <f t="shared" si="2"/>
      </c>
      <c r="L40" s="120">
        <f t="shared" si="3"/>
      </c>
      <c r="M40" s="126"/>
      <c r="N40" s="3"/>
      <c r="AA40" s="6"/>
      <c r="AB40" s="6"/>
    </row>
    <row r="41" ht="18" customHeight="1" spans="1:28" x14ac:dyDescent="0.25">
      <c r="A41" s="3"/>
      <c r="B41" s="119"/>
      <c r="C41" s="120"/>
      <c r="D41" s="120"/>
      <c r="E41" s="121">
        <f t="array" ref="E41">IF($B41="","",SUMPRODUCT((TRIM(tblLines[ASM / Salesperson])=$B41)*IF(ISNUMBER(tblLines[Qty (Packs)]),tblLines[Qty (Packs)],0)))</f>
      </c>
      <c r="F41" s="121">
        <f t="array" ref="F41">IF($B41="","",SUMPRODUCT((TRIM(tblLines[ASM / Salesperson])=$B41)*IF(ISNUMBER(tblLines[Weight (KG)]),tblLines[Weight (KG)],0)))</f>
      </c>
      <c r="G41" s="122"/>
      <c r="H41" s="123">
        <f t="array" ref="H41">IF($B41="","",SUMPRODUCT((TRIM(tblLines[ASM / Salesperson])=$B41)*IF(ISNUMBER(tblLines[Amount]),tblLines[Amount],0)))</f>
      </c>
      <c r="I41" s="124">
        <f t="array" ref="I41">IF($B41="","",SUMPRODUCT((TRIM(tblLines[ASM / Salesperson])=$B41)*IF(ISNUMBER(tblLines[Commission]),tblLines[Commission],0)))</f>
      </c>
      <c r="J41" s="122"/>
      <c r="K41" s="125">
        <f t="shared" si="2"/>
      </c>
      <c r="L41" s="120">
        <f t="shared" si="3"/>
      </c>
      <c r="M41" s="126"/>
      <c r="N41" s="3"/>
      <c r="AA41" s="6"/>
      <c r="AB41" s="6"/>
    </row>
    <row r="42" ht="18" customHeight="1" spans="1:28" x14ac:dyDescent="0.25">
      <c r="A42" s="3"/>
      <c r="B42" s="127"/>
      <c r="C42" s="128"/>
      <c r="D42" s="128"/>
      <c r="E42" s="129">
        <f t="array" ref="E42">IF($B42="","",SUMPRODUCT((TRIM(tblLines[ASM / Salesperson])=$B42)*IF(ISNUMBER(tblLines[Qty (Packs)]),tblLines[Qty (Packs)],0)))</f>
      </c>
      <c r="F42" s="129">
        <f t="array" ref="F42">IF($B42="","",SUMPRODUCT((TRIM(tblLines[ASM / Salesperson])=$B42)*IF(ISNUMBER(tblLines[Weight (KG)]),tblLines[Weight (KG)],0)))</f>
      </c>
      <c r="G42" s="130"/>
      <c r="H42" s="131">
        <f t="array" ref="H42">IF($B42="","",SUMPRODUCT((TRIM(tblLines[ASM / Salesperson])=$B42)*IF(ISNUMBER(tblLines[Amount]),tblLines[Amount],0)))</f>
      </c>
      <c r="I42" s="132">
        <f t="array" ref="I42">IF($B42="","",SUMPRODUCT((TRIM(tblLines[ASM / Salesperson])=$B42)*IF(ISNUMBER(tblLines[Commission]),tblLines[Commission],0)))</f>
      </c>
      <c r="J42" s="130"/>
      <c r="K42" s="133">
        <f t="shared" si="2"/>
      </c>
      <c r="L42" s="128">
        <f t="shared" si="3"/>
      </c>
      <c r="M42" s="134"/>
      <c r="N42" s="3"/>
      <c r="AA42" s="6"/>
      <c r="AB42" s="6"/>
    </row>
    <row r="43" ht="10.5" customHeight="1" spans="1:28" x14ac:dyDescent="0.25">
      <c r="A43" s="3"/>
      <c r="B43" s="95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96"/>
      <c r="N43" s="3"/>
      <c r="AA43" s="6"/>
      <c r="AB43" s="6"/>
    </row>
    <row r="44" ht="12" customHeight="1" spans="1:2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AA44" s="6"/>
      <c r="AB44" s="6"/>
    </row>
    <row r="45" ht="10.5" customHeight="1" spans="1:28" x14ac:dyDescent="0.25">
      <c r="A45" s="3"/>
      <c r="B45" s="86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87"/>
      <c r="N45" s="3"/>
      <c r="AA45" s="6"/>
      <c r="AB45" s="6"/>
    </row>
    <row r="46" ht="18" customHeight="1" spans="1:28" x14ac:dyDescent="0.25">
      <c r="A46" s="3"/>
      <c r="B46" s="98" t="s">
        <v>61</v>
      </c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/>
      <c r="N46" s="3"/>
      <c r="AA46" s="6"/>
      <c r="AB46" s="6"/>
    </row>
    <row r="47" ht="16.5" customHeight="1" spans="1:28" x14ac:dyDescent="0.25">
      <c r="A47" s="3"/>
      <c r="B47" s="109" t="s">
        <v>62</v>
      </c>
      <c r="C47" s="110"/>
      <c r="D47" s="110"/>
      <c r="E47" s="111" t="s">
        <v>48</v>
      </c>
      <c r="F47" s="111" t="s">
        <v>49</v>
      </c>
      <c r="G47" s="110"/>
      <c r="H47" s="111" t="s">
        <v>50</v>
      </c>
      <c r="I47" s="111" t="s">
        <v>51</v>
      </c>
      <c r="J47" s="110"/>
      <c r="K47" s="111" t="s">
        <v>52</v>
      </c>
      <c r="L47" s="112" t="s">
        <v>53</v>
      </c>
      <c r="M47" s="143" t="s">
        <v>47</v>
      </c>
      <c r="N47" s="3"/>
      <c r="AA47" s="6"/>
      <c r="AB47" s="6"/>
    </row>
    <row r="48" ht="18" customHeight="1" spans="1:28" x14ac:dyDescent="0.25">
      <c r="A48" s="3"/>
      <c r="B48" s="113" t="str">
        <f t="array" ref="B48:B79">_xlfn._xlws.SORT(_xlfn.UNIQUE(_xlfn._xlws.FILTER(TRIM(tblLines[Description (Product)]),TRIM(tblLines[Description (Product)])&lt;&gt;"")))</f>
        <v>DAAL CHANNA ECONOMY 25KG</v>
      </c>
      <c r="C48" s="97"/>
      <c r="D48" s="97"/>
      <c r="E48" s="114">
        <f t="array" ref="E48">IF($B48="","",SUMPRODUCT((TRIM(tblLines[Description (Product)])=$B48)*IF(ISNUMBER(tblLines[Qty (Packs)]),tblLines[Qty (Packs)],0)))</f>
        <v>70</v>
      </c>
      <c r="F48" s="114">
        <f t="array" ref="F48">IF($B48="","",SUMPRODUCT((TRIM(tblLines[Description (Product)])=$B48)*IF(ISNUMBER(tblLines[Weight (KG)]),tblLines[Weight (KG)],0)))</f>
        <v>1750</v>
      </c>
      <c r="G48" s="115"/>
      <c r="H48" s="116">
        <f t="array" ref="H48">IF($B48="","",SUMPRODUCT((TRIM(tblLines[Description (Product)])=$B48)*IF(ISNUMBER(tblLines[Amount]),tblLines[Amount],0)))</f>
        <v>365313</v>
      </c>
      <c r="I48" s="117">
        <f t="array" ref="I48">IF($B48="","",SUMPRODUCT((TRIM(tblLines[Description (Product)])=$B48)*IF(ISNUMBER(tblLines[Commission]),tblLines[Commission],0)))</f>
        <v>1278.5955000000001</v>
      </c>
      <c r="J48" s="115"/>
      <c r="K48" s="118">
        <f t="shared" ref="K48:K87" si="4">IF($B48="","",H48/$B$7)</f>
        <v>0.0018883378759174485</v>
      </c>
      <c r="L48" s="97">
        <f t="shared" ref="L48:L87" si="5">IFERROR(K48,0)</f>
        <v>0.0018883378759174485</v>
      </c>
      <c r="M48" s="144" t="str">
        <f>IF($B48="","",IFERROR(INDEX(Products!$H$4:$H$500,MATCH($B48,Products!$B$4:$B$500,0)),"Unmapped"))</f>
        <v>Pulses</v>
      </c>
      <c r="N48" s="3"/>
      <c r="AA48" s="6"/>
      <c r="AB48" s="6"/>
    </row>
    <row r="49" ht="18" customHeight="1" spans="1:28" x14ac:dyDescent="0.25">
      <c r="A49" s="3"/>
      <c r="B49" s="119" t="s">
        <v>63</v>
      </c>
      <c r="C49" s="120"/>
      <c r="D49" s="120"/>
      <c r="E49" s="121">
        <f t="array" ref="E49">IF($B49="","",SUMPRODUCT((TRIM(tblLines[Description (Product)])=$B49)*IF(ISNUMBER(tblLines[Qty (Packs)]),tblLines[Qty (Packs)],0)))</f>
        <v>80</v>
      </c>
      <c r="F49" s="121">
        <f t="array" ref="F49">IF($B49="","",SUMPRODUCT((TRIM(tblLines[Description (Product)])=$B49)*IF(ISNUMBER(tblLines[Weight (KG)]),tblLines[Weight (KG)],0)))</f>
        <v>2000</v>
      </c>
      <c r="G49" s="122"/>
      <c r="H49" s="123">
        <f t="array" ref="H49">IF($B49="","",SUMPRODUCT((TRIM(tblLines[Description (Product)])=$B49)*IF(ISNUMBER(tblLines[Amount]),tblLines[Amount],0)))</f>
        <v>452513</v>
      </c>
      <c r="I49" s="124">
        <f t="array" ref="I49">IF($B49="","",SUMPRODUCT((TRIM(tblLines[Description (Product)])=$B49)*IF(ISNUMBER(tblLines[Commission]),tblLines[Commission],0)))</f>
        <v>1583.7955</v>
      </c>
      <c r="J49" s="122"/>
      <c r="K49" s="125">
        <f t="shared" si="4"/>
        <v>0.0023390830253646393</v>
      </c>
      <c r="L49" s="120">
        <f t="shared" si="5"/>
        <v>0.0023390830253646393</v>
      </c>
      <c r="M49" s="145" t="str">
        <f>IF($B49="","",IFERROR(INDEX(Products!$H$4:$H$500,MATCH($B49,Products!$B$4:$B$500,0)),"Unmapped"))</f>
        <v>Pulses</v>
      </c>
      <c r="N49" s="3"/>
      <c r="AA49" s="6"/>
      <c r="AB49" s="6"/>
    </row>
    <row r="50" ht="18" customHeight="1" spans="1:28" x14ac:dyDescent="0.25">
      <c r="A50" s="3"/>
      <c r="B50" s="119" t="s">
        <v>31</v>
      </c>
      <c r="C50" s="120"/>
      <c r="D50" s="120"/>
      <c r="E50" s="121">
        <f t="array" ref="E50">IF($B50="","",SUMPRODUCT((TRIM(tblLines[Description (Product)])=$B50)*IF(ISNUMBER(tblLines[Qty (Packs)]),tblLines[Qty (Packs)],0)))</f>
        <v>120</v>
      </c>
      <c r="F50" s="121">
        <f t="array" ref="F50">IF($B50="","",SUMPRODUCT((TRIM(tblLines[Description (Product)])=$B50)*IF(ISNUMBER(tblLines[Weight (KG)]),tblLines[Weight (KG)],0)))</f>
        <v>3000</v>
      </c>
      <c r="G50" s="122"/>
      <c r="H50" s="123">
        <f t="array" ref="H50">IF($B50="","",SUMPRODUCT((TRIM(tblLines[Description (Product)])=$B50)*IF(ISNUMBER(tblLines[Amount]),tblLines[Amount],0)))</f>
        <v>747500</v>
      </c>
      <c r="I50" s="124">
        <f t="array" ref="I50">IF($B50="","",SUMPRODUCT((TRIM(tblLines[Description (Product)])=$B50)*IF(ISNUMBER(tblLines[Commission]),tblLines[Commission],0)))</f>
        <v>2616.25</v>
      </c>
      <c r="J50" s="122"/>
      <c r="K50" s="125">
        <f t="shared" si="4"/>
        <v>0.003863899073529529</v>
      </c>
      <c r="L50" s="120">
        <f t="shared" si="5"/>
        <v>0.003863899073529529</v>
      </c>
      <c r="M50" s="145" t="str">
        <f>IF($B50="","",IFERROR(INDEX(Products!$H$4:$H$500,MATCH($B50,Products!$B$4:$B$500,0)),"Unmapped"))</f>
        <v>Pulses</v>
      </c>
      <c r="N50" s="3"/>
      <c r="AA50" s="6"/>
      <c r="AB50" s="6"/>
    </row>
    <row r="51" ht="18" customHeight="1" spans="1:28" x14ac:dyDescent="0.25">
      <c r="A51" s="3"/>
      <c r="B51" s="119" t="s">
        <v>28</v>
      </c>
      <c r="C51" s="120"/>
      <c r="D51" s="120"/>
      <c r="E51" s="121">
        <f t="array" ref="E51">IF($B51="","",SUMPRODUCT((TRIM(tblLines[Description (Product)])=$B51)*IF(ISNUMBER(tblLines[Qty (Packs)]),tblLines[Qty (Packs)],0)))</f>
        <v>115</v>
      </c>
      <c r="F51" s="121">
        <f t="array" ref="F51">IF($B51="","",SUMPRODUCT((TRIM(tblLines[Description (Product)])=$B51)*IF(ISNUMBER(tblLines[Weight (KG)]),tblLines[Weight (KG)],0)))</f>
        <v>2875</v>
      </c>
      <c r="G51" s="122"/>
      <c r="H51" s="123">
        <f t="array" ref="H51">IF($B51="","",SUMPRODUCT((TRIM(tblLines[Description (Product)])=$B51)*IF(ISNUMBER(tblLines[Amount]),tblLines[Amount],0)))</f>
        <v>1169244</v>
      </c>
      <c r="I51" s="124">
        <f t="array" ref="I51">IF($B51="","",SUMPRODUCT((TRIM(tblLines[Description (Product)])=$B51)*IF(ISNUMBER(tblLines[Commission]),tblLines[Commission],0)))</f>
        <v>4092.3540000000003</v>
      </c>
      <c r="J51" s="122"/>
      <c r="K51" s="125">
        <f t="shared" si="4"/>
        <v>0.006043934191745767</v>
      </c>
      <c r="L51" s="120">
        <f t="shared" si="5"/>
        <v>0.006043934191745767</v>
      </c>
      <c r="M51" s="145" t="str">
        <f>IF($B51="","",IFERROR(INDEX(Products!$H$4:$H$500,MATCH($B51,Products!$B$4:$B$500,0)),"Unmapped"))</f>
        <v>Pulses</v>
      </c>
      <c r="N51" s="3"/>
      <c r="AA51" s="6"/>
      <c r="AB51" s="6"/>
    </row>
    <row r="52" ht="18" customHeight="1" spans="1:28" x14ac:dyDescent="0.25">
      <c r="A52" s="3"/>
      <c r="B52" s="119" t="s">
        <v>29</v>
      </c>
      <c r="C52" s="120"/>
      <c r="D52" s="120"/>
      <c r="E52" s="121">
        <f t="array" ref="E52">IF($B52="","",SUMPRODUCT((TRIM(tblLines[Description (Product)])=$B52)*IF(ISNUMBER(tblLines[Qty (Packs)]),tblLines[Qty (Packs)],0)))</f>
        <v>85</v>
      </c>
      <c r="F52" s="121">
        <f t="array" ref="F52">IF($B52="","",SUMPRODUCT((TRIM(tblLines[Description (Product)])=$B52)*IF(ISNUMBER(tblLines[Weight (KG)]),tblLines[Weight (KG)],0)))</f>
        <v>2125</v>
      </c>
      <c r="G52" s="122"/>
      <c r="H52" s="123">
        <f t="array" ref="H52">IF($B52="","",SUMPRODUCT((TRIM(tblLines[Description (Product)])=$B52)*IF(ISNUMBER(tblLines[Amount]),tblLines[Amount],0)))</f>
        <v>545488</v>
      </c>
      <c r="I52" s="124">
        <f t="array" ref="I52">IF($B52="","",SUMPRODUCT((TRIM(tblLines[Description (Product)])=$B52)*IF(ISNUMBER(tblLines[Commission]),tblLines[Commission],0)))</f>
        <v>1909.208</v>
      </c>
      <c r="J52" s="122"/>
      <c r="K52" s="125">
        <f t="shared" si="4"/>
        <v>0.002819679702771205</v>
      </c>
      <c r="L52" s="120">
        <f t="shared" si="5"/>
        <v>0.002819679702771205</v>
      </c>
      <c r="M52" s="145" t="str">
        <f>IF($B52="","",IFERROR(INDEX(Products!$H$4:$H$500,MATCH($B52,Products!$B$4:$B$500,0)),"Unmapped"))</f>
        <v>Pulses</v>
      </c>
      <c r="N52" s="3"/>
      <c r="AA52" s="6"/>
      <c r="AB52" s="6"/>
    </row>
    <row r="53" ht="18" customHeight="1" spans="1:28" x14ac:dyDescent="0.25">
      <c r="A53" s="3"/>
      <c r="B53" s="119" t="s">
        <v>30</v>
      </c>
      <c r="C53" s="120"/>
      <c r="D53" s="120"/>
      <c r="E53" s="121">
        <f t="array" ref="E53">IF($B53="","",SUMPRODUCT((TRIM(tblLines[Description (Product)])=$B53)*IF(ISNUMBER(tblLines[Qty (Packs)]),tblLines[Qty (Packs)],0)))</f>
        <v>115</v>
      </c>
      <c r="F53" s="121">
        <f t="array" ref="F53">IF($B53="","",SUMPRODUCT((TRIM(tblLines[Description (Product)])=$B53)*IF(ISNUMBER(tblLines[Weight (KG)]),tblLines[Weight (KG)],0)))</f>
        <v>2875</v>
      </c>
      <c r="G53" s="122"/>
      <c r="H53" s="123">
        <f t="array" ref="H53">IF($B53="","",SUMPRODUCT((TRIM(tblLines[Description (Product)])=$B53)*IF(ISNUMBER(tblLines[Amount]),tblLines[Amount],0)))</f>
        <v>608281</v>
      </c>
      <c r="I53" s="124">
        <f t="array" ref="I53">IF($B53="","",SUMPRODUCT((TRIM(tblLines[Description (Product)])=$B53)*IF(ISNUMBER(tblLines[Commission]),tblLines[Commission],0)))</f>
        <v>2128.9835000000003</v>
      </c>
      <c r="J53" s="122"/>
      <c r="K53" s="125">
        <f t="shared" si="4"/>
        <v>0.003144262732234937</v>
      </c>
      <c r="L53" s="120">
        <f t="shared" si="5"/>
        <v>0.003144262732234937</v>
      </c>
      <c r="M53" s="145" t="str">
        <f>IF($B53="","",IFERROR(INDEX(Products!$H$4:$H$500,MATCH($B53,Products!$B$4:$B$500,0)),"Unmapped"))</f>
        <v>Pulses</v>
      </c>
      <c r="N53" s="3"/>
      <c r="AA53" s="6"/>
      <c r="AB53" s="6"/>
    </row>
    <row r="54" ht="18" customHeight="1" spans="1:28" x14ac:dyDescent="0.25">
      <c r="A54" s="3"/>
      <c r="B54" s="119" t="s">
        <v>64</v>
      </c>
      <c r="C54" s="120"/>
      <c r="D54" s="120"/>
      <c r="E54" s="121">
        <f t="array" ref="E54">IF($B54="","",SUMPRODUCT((TRIM(tblLines[Description (Product)])=$B54)*IF(ISNUMBER(tblLines[Qty (Packs)]),tblLines[Qty (Packs)],0)))</f>
        <v>660</v>
      </c>
      <c r="F54" s="121">
        <f t="array" ref="F54">IF($B54="","",SUMPRODUCT((TRIM(tblLines[Description (Product)])=$B54)*IF(ISNUMBER(tblLines[Weight (KG)]),tblLines[Weight (KG)],0)))</f>
        <v>16500</v>
      </c>
      <c r="G54" s="122"/>
      <c r="H54" s="123">
        <f t="array" ref="H54">IF($B54="","",SUMPRODUCT((TRIM(tblLines[Description (Product)])=$B54)*IF(ISNUMBER(tblLines[Amount]),tblLines[Amount],0)))</f>
        <v>1870626</v>
      </c>
      <c r="I54" s="124">
        <f t="array" ref="I54">IF($B54="","",SUMPRODUCT((TRIM(tblLines[Description (Product)])=$B54)*IF(ISNUMBER(tblLines[Commission]),tblLines[Commission],0)))</f>
        <v>6547.191000000001</v>
      </c>
      <c r="J54" s="122"/>
      <c r="K54" s="125">
        <f t="shared" si="4"/>
        <v>0.009669444907451837</v>
      </c>
      <c r="L54" s="120">
        <f t="shared" si="5"/>
        <v>0.009669444907451837</v>
      </c>
      <c r="M54" s="145" t="str">
        <f>IF($B54="","",IFERROR(INDEX(Products!$H$4:$H$500,MATCH($B54,Products!$B$4:$B$500,0)),"Unmapped"))</f>
        <v>Rice</v>
      </c>
      <c r="N54" s="3"/>
      <c r="AA54" s="6"/>
      <c r="AB54" s="6"/>
    </row>
    <row r="55" ht="18" customHeight="1" spans="1:28" x14ac:dyDescent="0.25">
      <c r="A55" s="3"/>
      <c r="B55" s="119" t="s">
        <v>65</v>
      </c>
      <c r="C55" s="120"/>
      <c r="D55" s="120"/>
      <c r="E55" s="121">
        <f t="array" ref="E55">IF($B55="","",SUMPRODUCT((TRIM(tblLines[Description (Product)])=$B55)*IF(ISNUMBER(tblLines[Qty (Packs)]),tblLines[Qty (Packs)],0)))</f>
        <v>45</v>
      </c>
      <c r="F55" s="121">
        <f t="array" ref="F55">IF($B55="","",SUMPRODUCT((TRIM(tblLines[Description (Product)])=$B55)*IF(ISNUMBER(tblLines[Weight (KG)]),tblLines[Weight (KG)],0)))</f>
        <v>1125</v>
      </c>
      <c r="G55" s="122"/>
      <c r="H55" s="123">
        <f t="array" ref="H55">IF($B55="","",SUMPRODUCT((TRIM(tblLines[Description (Product)])=$B55)*IF(ISNUMBER(tblLines[Amount]),tblLines[Amount],0)))</f>
        <v>254844</v>
      </c>
      <c r="I55" s="124">
        <f t="array" ref="I55">IF($B55="","",SUMPRODUCT((TRIM(tblLines[Description (Product)])=$B55)*IF(ISNUMBER(tblLines[Commission]),tblLines[Commission],0)))</f>
        <v>891.954</v>
      </c>
      <c r="J55" s="122"/>
      <c r="K55" s="125">
        <f t="shared" si="4"/>
        <v>0.0013173130374509155</v>
      </c>
      <c r="L55" s="120">
        <f t="shared" si="5"/>
        <v>0.0013173130374509155</v>
      </c>
      <c r="M55" s="145" t="str">
        <f>IF($B55="","",IFERROR(INDEX(Products!$H$4:$H$500,MATCH($B55,Products!$B$4:$B$500,0)),"Unmapped"))</f>
        <v>Pulses</v>
      </c>
      <c r="N55" s="3"/>
      <c r="AA55" s="6"/>
      <c r="AB55" s="6"/>
    </row>
    <row r="56" ht="18" customHeight="1" spans="1:28" x14ac:dyDescent="0.25">
      <c r="A56" s="3"/>
      <c r="B56" s="119" t="s">
        <v>66</v>
      </c>
      <c r="C56" s="120"/>
      <c r="D56" s="120"/>
      <c r="E56" s="121">
        <f t="array" ref="E56">IF($B56="","",SUMPRODUCT((TRIM(tblLines[Description (Product)])=$B56)*IF(ISNUMBER(tblLines[Qty (Packs)]),tblLines[Qty (Packs)],0)))</f>
        <v>10</v>
      </c>
      <c r="F56" s="121">
        <f t="array" ref="F56">IF($B56="","",SUMPRODUCT((TRIM(tblLines[Description (Product)])=$B56)*IF(ISNUMBER(tblLines[Weight (KG)]),tblLines[Weight (KG)],0)))</f>
        <v>250</v>
      </c>
      <c r="G56" s="122"/>
      <c r="H56" s="123">
        <f t="array" ref="H56">IF($B56="","",SUMPRODUCT((TRIM(tblLines[Description (Product)])=$B56)*IF(ISNUMBER(tblLines[Amount]),tblLines[Amount],0)))</f>
        <v>83750</v>
      </c>
      <c r="I56" s="124">
        <f t="array" ref="I56">IF($B56="","",SUMPRODUCT((TRIM(tblLines[Description (Product)])=$B56)*IF(ISNUMBER(tblLines[Commission]),tblLines[Commission],0)))</f>
        <v>293.125</v>
      </c>
      <c r="J56" s="122"/>
      <c r="K56" s="125">
        <f t="shared" si="4"/>
        <v>0.0004329117691078235</v>
      </c>
      <c r="L56" s="120">
        <f t="shared" si="5"/>
        <v>0.0004329117691078235</v>
      </c>
      <c r="M56" s="145" t="str">
        <f>IF($B56="","",IFERROR(INDEX(Products!$H$4:$H$500,MATCH($B56,Products!$B$4:$B$500,0)),"Unmapped"))</f>
        <v>Pulses</v>
      </c>
      <c r="N56" s="3"/>
      <c r="AA56" s="6"/>
      <c r="AB56" s="6"/>
    </row>
    <row r="57" ht="18" customHeight="1" spans="1:28" x14ac:dyDescent="0.25">
      <c r="A57" s="3"/>
      <c r="B57" s="119" t="s">
        <v>27</v>
      </c>
      <c r="C57" s="120"/>
      <c r="D57" s="120"/>
      <c r="E57" s="121">
        <f t="array" ref="E57">IF($B57="","",SUMPRODUCT((TRIM(tblLines[Description (Product)])=$B57)*IF(ISNUMBER(tblLines[Qty (Packs)]),tblLines[Qty (Packs)],0)))</f>
        <v>140</v>
      </c>
      <c r="F57" s="121">
        <f t="array" ref="F57">IF($B57="","",SUMPRODUCT((TRIM(tblLines[Description (Product)])=$B57)*IF(ISNUMBER(tblLines[Weight (KG)]),tblLines[Weight (KG)],0)))</f>
        <v>3500</v>
      </c>
      <c r="G57" s="122"/>
      <c r="H57" s="123">
        <f t="array" ref="H57">IF($B57="","",SUMPRODUCT((TRIM(tblLines[Description (Product)])=$B57)*IF(ISNUMBER(tblLines[Amount]),tblLines[Amount],0)))</f>
        <v>705626</v>
      </c>
      <c r="I57" s="124">
        <f t="array" ref="I57">IF($B57="","",SUMPRODUCT((TRIM(tblLines[Description (Product)])=$B57)*IF(ISNUMBER(tblLines[Commission]),tblLines[Commission],0)))</f>
        <v>2469.691</v>
      </c>
      <c r="J57" s="122"/>
      <c r="K57" s="125">
        <f t="shared" si="4"/>
        <v>0.003647448358071368</v>
      </c>
      <c r="L57" s="120">
        <f t="shared" si="5"/>
        <v>0.003647448358071368</v>
      </c>
      <c r="M57" s="145" t="str">
        <f>IF($B57="","",IFERROR(INDEX(Products!$H$4:$H$500,MATCH($B57,Products!$B$4:$B$500,0)),"Unmapped"))</f>
        <v>Pulses</v>
      </c>
      <c r="N57" s="3"/>
      <c r="AA57" s="6"/>
      <c r="AB57" s="6"/>
    </row>
    <row r="58" ht="18" customHeight="1" spans="1:28" x14ac:dyDescent="0.25">
      <c r="A58" s="3"/>
      <c r="B58" s="119" t="s">
        <v>67</v>
      </c>
      <c r="C58" s="120"/>
      <c r="D58" s="120"/>
      <c r="E58" s="121">
        <f t="array" ref="E58">IF($B58="","",SUMPRODUCT((TRIM(tblLines[Description (Product)])=$B58)*IF(ISNUMBER(tblLines[Qty (Packs)]),tblLines[Qty (Packs)],0)))</f>
        <v>10</v>
      </c>
      <c r="F58" s="121">
        <f t="array" ref="F58">IF($B58="","",SUMPRODUCT((TRIM(tblLines[Description (Product)])=$B58)*IF(ISNUMBER(tblLines[Weight (KG)]),tblLines[Weight (KG)],0)))</f>
        <v>250</v>
      </c>
      <c r="G58" s="122"/>
      <c r="H58" s="123">
        <f t="array" ref="H58">IF($B58="","",SUMPRODUCT((TRIM(tblLines[Description (Product)])=$B58)*IF(ISNUMBER(tblLines[Amount]),tblLines[Amount],0)))</f>
        <v>45938</v>
      </c>
      <c r="I58" s="124">
        <f t="array" ref="I58">IF($B58="","",SUMPRODUCT((TRIM(tblLines[Description (Product)])=$B58)*IF(ISNUMBER(tblLines[Commission]),tblLines[Commission],0)))</f>
        <v>160.78300000000002</v>
      </c>
      <c r="J58" s="122"/>
      <c r="K58" s="125">
        <f t="shared" si="4"/>
        <v>0.00023745792058836053</v>
      </c>
      <c r="L58" s="120">
        <f t="shared" si="5"/>
        <v>0.00023745792058836053</v>
      </c>
      <c r="M58" s="145" t="str">
        <f>IF($B58="","",IFERROR(INDEX(Products!$H$4:$H$500,MATCH($B58,Products!$B$4:$B$500,0)),"Unmapped"))</f>
        <v>Pulses</v>
      </c>
      <c r="N58" s="3"/>
      <c r="AA58" s="6"/>
      <c r="AB58" s="6"/>
    </row>
    <row r="59" ht="18" customHeight="1" spans="1:28" x14ac:dyDescent="0.25">
      <c r="A59" s="3"/>
      <c r="B59" s="119" t="s">
        <v>68</v>
      </c>
      <c r="C59" s="120"/>
      <c r="D59" s="120"/>
      <c r="E59" s="121">
        <f t="array" ref="E59">IF($B59="","",SUMPRODUCT((TRIM(tblLines[Description (Product)])=$B59)*IF(ISNUMBER(tblLines[Qty (Packs)]),tblLines[Qty (Packs)],0)))</f>
        <v>20</v>
      </c>
      <c r="F59" s="121">
        <f t="array" ref="F59">IF($B59="","",SUMPRODUCT((TRIM(tblLines[Description (Product)])=$B59)*IF(ISNUMBER(tblLines[Weight (KG)]),tblLines[Weight (KG)],0)))</f>
        <v>500</v>
      </c>
      <c r="G59" s="122"/>
      <c r="H59" s="123">
        <f t="array" ref="H59">IF($B59="","",SUMPRODUCT((TRIM(tblLines[Description (Product)])=$B59)*IF(ISNUMBER(tblLines[Amount]),tblLines[Amount],0)))</f>
        <v>106250</v>
      </c>
      <c r="I59" s="124">
        <f t="array" ref="I59">IF($B59="","",SUMPRODUCT((TRIM(tblLines[Description (Product)])=$B59)*IF(ISNUMBER(tblLines[Commission]),tblLines[Commission],0)))</f>
        <v>371.875</v>
      </c>
      <c r="J59" s="122"/>
      <c r="K59" s="125">
        <f t="shared" si="4"/>
        <v>0.000549216423495</v>
      </c>
      <c r="L59" s="120">
        <f t="shared" si="5"/>
        <v>0.000549216423495</v>
      </c>
      <c r="M59" s="145" t="str">
        <f>IF($B59="","",IFERROR(INDEX(Products!$H$4:$H$500,MATCH($B59,Products!$B$4:$B$500,0)),"Unmapped"))</f>
        <v>Pulses</v>
      </c>
      <c r="N59" s="3"/>
      <c r="AA59" s="6"/>
      <c r="AB59" s="6"/>
    </row>
    <row r="60" ht="18" customHeight="1" spans="1:28" x14ac:dyDescent="0.25">
      <c r="A60" s="3"/>
      <c r="B60" s="119" t="s">
        <v>69</v>
      </c>
      <c r="C60" s="120"/>
      <c r="D60" s="120"/>
      <c r="E60" s="121">
        <f t="array" ref="E60">IF($B60="","",SUMPRODUCT((TRIM(tblLines[Description (Product)])=$B60)*IF(ISNUMBER(tblLines[Qty (Packs)]),tblLines[Qty (Packs)],0)))</f>
        <v>65</v>
      </c>
      <c r="F60" s="121">
        <f t="array" ref="F60">IF($B60="","",SUMPRODUCT((TRIM(tblLines[Description (Product)])=$B60)*IF(ISNUMBER(tblLines[Weight (KG)]),tblLines[Weight (KG)],0)))</f>
        <v>1625</v>
      </c>
      <c r="G60" s="122"/>
      <c r="H60" s="123">
        <f t="array" ref="H60">IF($B60="","",SUMPRODUCT((TRIM(tblLines[Description (Product)])=$B60)*IF(ISNUMBER(tblLines[Amount]),tblLines[Amount],0)))</f>
        <v>369844</v>
      </c>
      <c r="I60" s="124">
        <f t="array" ref="I60">IF($B60="","",SUMPRODUCT((TRIM(tblLines[Description (Product)])=$B60)*IF(ISNUMBER(tblLines[Commission]),tblLines[Commission],0)))</f>
        <v>1294.454</v>
      </c>
      <c r="J60" s="122"/>
      <c r="K60" s="125">
        <f t="shared" si="4"/>
        <v>0.0019117590487631507</v>
      </c>
      <c r="L60" s="120">
        <f t="shared" si="5"/>
        <v>0.0019117590487631507</v>
      </c>
      <c r="M60" s="145" t="str">
        <f>IF($B60="","",IFERROR(INDEX(Products!$H$4:$H$500,MATCH($B60,Products!$B$4:$B$500,0)),"Unmapped"))</f>
        <v>Pulses</v>
      </c>
      <c r="N60" s="3"/>
      <c r="AA60" s="6"/>
      <c r="AB60" s="6"/>
    </row>
    <row r="61" ht="18" customHeight="1" spans="1:28" x14ac:dyDescent="0.25">
      <c r="A61" s="3"/>
      <c r="B61" s="119" t="s">
        <v>70</v>
      </c>
      <c r="C61" s="120"/>
      <c r="D61" s="120"/>
      <c r="E61" s="121">
        <f t="array" ref="E61">IF($B61="","",SUMPRODUCT((TRIM(tblLines[Description (Product)])=$B61)*IF(ISNUMBER(tblLines[Qty (Packs)]),tblLines[Qty (Packs)],0)))</f>
        <v>680</v>
      </c>
      <c r="F61" s="121">
        <f t="array" ref="F61">IF($B61="","",SUMPRODUCT((TRIM(tblLines[Description (Product)])=$B61)*IF(ISNUMBER(tblLines[Weight (KG)]),tblLines[Weight (KG)],0)))</f>
        <v>17000</v>
      </c>
      <c r="G61" s="122"/>
      <c r="H61" s="123">
        <f t="array" ref="H61">IF($B61="","",SUMPRODUCT((TRIM(tblLines[Description (Product)])=$B61)*IF(ISNUMBER(tblLines[Amount]),tblLines[Amount],0)))</f>
        <v>4375650</v>
      </c>
      <c r="I61" s="124">
        <f t="array" ref="I61">IF($B61="","",SUMPRODUCT((TRIM(tblLines[Description (Product)])=$B61)*IF(ISNUMBER(tblLines[Commission]),tblLines[Commission],0)))</f>
        <v>15314.775</v>
      </c>
      <c r="J61" s="122"/>
      <c r="K61" s="125">
        <f t="shared" si="4"/>
        <v>0.022618153820855497</v>
      </c>
      <c r="L61" s="120">
        <f t="shared" si="5"/>
        <v>0.022618153820855497</v>
      </c>
      <c r="M61" s="145" t="str">
        <f>IF($B61="","",IFERROR(INDEX(Products!$H$4:$H$500,MATCH($B61,Products!$B$4:$B$500,0)),"Unmapped"))</f>
        <v>Pulses</v>
      </c>
      <c r="N61" s="3"/>
      <c r="AA61" s="6"/>
      <c r="AB61" s="6"/>
    </row>
    <row r="62" ht="18" customHeight="1" spans="1:28" x14ac:dyDescent="0.25">
      <c r="A62" s="3"/>
      <c r="B62" s="119" t="s">
        <v>71</v>
      </c>
      <c r="C62" s="120"/>
      <c r="D62" s="120"/>
      <c r="E62" s="121">
        <f t="array" ref="E62">IF($B62="","",SUMPRODUCT((TRIM(tblLines[Description (Product)])=$B62)*IF(ISNUMBER(tblLines[Qty (Packs)]),tblLines[Qty (Packs)],0)))</f>
        <v>480</v>
      </c>
      <c r="F62" s="121">
        <f t="array" ref="F62">IF($B62="","",SUMPRODUCT((TRIM(tblLines[Description (Product)])=$B62)*IF(ISNUMBER(tblLines[Weight (KG)]),tblLines[Weight (KG)],0)))</f>
        <v>12000</v>
      </c>
      <c r="G62" s="122"/>
      <c r="H62" s="123">
        <f t="array" ref="H62">IF($B62="","",SUMPRODUCT((TRIM(tblLines[Description (Product)])=$B62)*IF(ISNUMBER(tblLines[Amount]),tblLines[Amount],0)))</f>
        <v>3600000</v>
      </c>
      <c r="I62" s="124">
        <f t="array" ref="I62">IF($B62="","",SUMPRODUCT((TRIM(tblLines[Description (Product)])=$B62)*IF(ISNUMBER(tblLines[Commission]),tblLines[Commission],0)))</f>
        <v>12600</v>
      </c>
      <c r="J62" s="122"/>
      <c r="K62" s="125">
        <f t="shared" si="4"/>
        <v>0.018608744701948232</v>
      </c>
      <c r="L62" s="120">
        <f t="shared" si="5"/>
        <v>0.018608744701948232</v>
      </c>
      <c r="M62" s="145" t="str">
        <f>IF($B62="","",IFERROR(INDEX(Products!$H$4:$H$500,MATCH($B62,Products!$B$4:$B$500,0)),"Unmapped"))</f>
        <v>Pulses</v>
      </c>
      <c r="N62" s="3"/>
      <c r="AA62" s="6"/>
      <c r="AB62" s="6"/>
    </row>
    <row r="63" ht="18" customHeight="1" spans="1:28" x14ac:dyDescent="0.25">
      <c r="A63" s="3"/>
      <c r="B63" s="119" t="s">
        <v>72</v>
      </c>
      <c r="C63" s="120"/>
      <c r="D63" s="120"/>
      <c r="E63" s="121">
        <f t="array" ref="E63">IF($B63="","",SUMPRODUCT((TRIM(tblLines[Description (Product)])=$B63)*IF(ISNUMBER(tblLines[Qty (Packs)]),tblLines[Qty (Packs)],0)))</f>
        <v>2792</v>
      </c>
      <c r="F63" s="121">
        <f t="array" ref="F63">IF($B63="","",SUMPRODUCT((TRIM(tblLines[Description (Product)])=$B63)*IF(ISNUMBER(tblLines[Weight (KG)]),tblLines[Weight (KG)],0)))</f>
        <v>69800</v>
      </c>
      <c r="G63" s="122"/>
      <c r="H63" s="123">
        <f t="array" ref="H63">IF($B63="","",SUMPRODUCT((TRIM(tblLines[Description (Product)])=$B63)*IF(ISNUMBER(tblLines[Amount]),tblLines[Amount],0)))</f>
        <v>21336440</v>
      </c>
      <c r="I63" s="124">
        <f t="array" ref="I63">IF($B63="","",SUMPRODUCT((TRIM(tblLines[Description (Product)])=$B63)*IF(ISNUMBER(tblLines[Commission]),tblLines[Commission],0)))</f>
        <v>74677.54000000001</v>
      </c>
      <c r="J63" s="122"/>
      <c r="K63" s="125">
        <f t="shared" si="4"/>
        <v>0.11029010133567677</v>
      </c>
      <c r="L63" s="120">
        <f t="shared" si="5"/>
        <v>0.11029010133567677</v>
      </c>
      <c r="M63" s="145" t="str">
        <f>IF($B63="","",IFERROR(INDEX(Products!$H$4:$H$500,MATCH($B63,Products!$B$4:$B$500,0)),"Unmapped"))</f>
        <v>Rice</v>
      </c>
      <c r="N63" s="3"/>
      <c r="AA63" s="6"/>
      <c r="AB63" s="6"/>
    </row>
    <row r="64" ht="18" customHeight="1" spans="1:28" x14ac:dyDescent="0.25">
      <c r="A64" s="3"/>
      <c r="B64" s="119" t="s">
        <v>73</v>
      </c>
      <c r="C64" s="120"/>
      <c r="D64" s="120"/>
      <c r="E64" s="121">
        <f t="array" ref="E64">IF($B64="","",SUMPRODUCT((TRIM(tblLines[Description (Product)])=$B64)*IF(ISNUMBER(tblLines[Qty (Packs)]),tblLines[Qty (Packs)],0)))</f>
        <v>52</v>
      </c>
      <c r="F64" s="121">
        <f t="array" ref="F64">IF($B64="","",SUMPRODUCT((TRIM(tblLines[Description (Product)])=$B64)*IF(ISNUMBER(tblLines[Weight (KG)]),tblLines[Weight (KG)],0)))</f>
        <v>2080</v>
      </c>
      <c r="G64" s="122"/>
      <c r="H64" s="123">
        <f t="array" ref="H64">IF($B64="","",SUMPRODUCT((TRIM(tblLines[Description (Product)])=$B64)*IF(ISNUMBER(tblLines[Amount]),tblLines[Amount],0)))</f>
        <v>668200</v>
      </c>
      <c r="I64" s="124">
        <f t="array" ref="I64">IF($B64="","",SUMPRODUCT((TRIM(tblLines[Description (Product)])=$B64)*IF(ISNUMBER(tblLines[Commission]),tblLines[Commission],0)))</f>
        <v>2338.7</v>
      </c>
      <c r="J64" s="122"/>
      <c r="K64" s="125">
        <f t="shared" si="4"/>
        <v>0.003453989780511614</v>
      </c>
      <c r="L64" s="120">
        <f t="shared" si="5"/>
        <v>0.003453989780511614</v>
      </c>
      <c r="M64" s="145" t="str">
        <f>IF($B64="","",IFERROR(INDEX(Products!$H$4:$H$500,MATCH($B64,Products!$B$4:$B$500,0)),"Unmapped"))</f>
        <v>Rice</v>
      </c>
      <c r="N64" s="3"/>
      <c r="AA64" s="6"/>
      <c r="AB64" s="6"/>
    </row>
    <row r="65" ht="18" customHeight="1" spans="1:28" x14ac:dyDescent="0.25">
      <c r="A65" s="3"/>
      <c r="B65" s="119" t="s">
        <v>74</v>
      </c>
      <c r="C65" s="120"/>
      <c r="D65" s="120"/>
      <c r="E65" s="121">
        <f t="array" ref="E65">IF($B65="","",SUMPRODUCT((TRIM(tblLines[Description (Product)])=$B65)*IF(ISNUMBER(tblLines[Qty (Packs)]),tblLines[Qty (Packs)],0)))</f>
        <v>2003</v>
      </c>
      <c r="F65" s="121">
        <f t="array" ref="F65">IF($B65="","",SUMPRODUCT((TRIM(tblLines[Description (Product)])=$B65)*IF(ISNUMBER(tblLines[Weight (KG)]),tblLines[Weight (KG)],0)))</f>
        <v>50075</v>
      </c>
      <c r="G65" s="122"/>
      <c r="H65" s="123">
        <f t="array" ref="H65">IF($B65="","",SUMPRODUCT((TRIM(tblLines[Description (Product)])=$B65)*IF(ISNUMBER(tblLines[Amount]),tblLines[Amount],0)))</f>
        <v>9595346</v>
      </c>
      <c r="I65" s="124">
        <f t="array" ref="I65">IF($B65="","",SUMPRODUCT((TRIM(tblLines[Description (Product)])=$B65)*IF(ISNUMBER(tblLines[Commission]),tblLines[Commission],0)))</f>
        <v>33583.710999999996</v>
      </c>
      <c r="J65" s="122"/>
      <c r="K65" s="125">
        <f t="shared" si="4"/>
        <v>0.04959926223357227</v>
      </c>
      <c r="L65" s="120">
        <f t="shared" si="5"/>
        <v>0.04959926223357227</v>
      </c>
      <c r="M65" s="145" t="str">
        <f>IF($B65="","",IFERROR(INDEX(Products!$H$4:$H$500,MATCH($B65,Products!$B$4:$B$500,0)),"Unmapped"))</f>
        <v>Rice</v>
      </c>
      <c r="N65" s="3"/>
      <c r="AA65" s="6"/>
      <c r="AB65" s="6"/>
    </row>
    <row r="66" ht="18" customHeight="1" spans="1:28" x14ac:dyDescent="0.25">
      <c r="A66" s="3"/>
      <c r="B66" s="119" t="s">
        <v>75</v>
      </c>
      <c r="C66" s="120"/>
      <c r="D66" s="120"/>
      <c r="E66" s="121">
        <f t="array" ref="E66">IF($B66="","",SUMPRODUCT((TRIM(tblLines[Description (Product)])=$B66)*IF(ISNUMBER(tblLines[Qty (Packs)]),tblLines[Qty (Packs)],0)))</f>
        <v>25</v>
      </c>
      <c r="F66" s="121">
        <f t="array" ref="F66">IF($B66="","",SUMPRODUCT((TRIM(tblLines[Description (Product)])=$B66)*IF(ISNUMBER(tblLines[Weight (KG)]),tblLines[Weight (KG)],0)))</f>
        <v>1000</v>
      </c>
      <c r="G66" s="122"/>
      <c r="H66" s="123">
        <f t="array" ref="H66">IF($B66="","",SUMPRODUCT((TRIM(tblLines[Description (Product)])=$B66)*IF(ISNUMBER(tblLines[Amount]),tblLines[Amount],0)))</f>
        <v>208750</v>
      </c>
      <c r="I66" s="124">
        <f t="array" ref="I66">IF($B66="","",SUMPRODUCT((TRIM(tblLines[Description (Product)])=$B66)*IF(ISNUMBER(tblLines[Commission]),tblLines[Commission],0)))</f>
        <v>730.625</v>
      </c>
      <c r="J66" s="122"/>
      <c r="K66" s="125">
        <f t="shared" si="4"/>
        <v>0.0010790487379254705</v>
      </c>
      <c r="L66" s="120">
        <f t="shared" si="5"/>
        <v>0.0010790487379254705</v>
      </c>
      <c r="M66" s="145" t="str">
        <f>IF($B66="","",IFERROR(INDEX(Products!$H$4:$H$500,MATCH($B66,Products!$B$4:$B$500,0)),"Unmapped"))</f>
        <v>Rice</v>
      </c>
      <c r="N66" s="3"/>
      <c r="AA66" s="6"/>
      <c r="AB66" s="6"/>
    </row>
    <row r="67" ht="18" customHeight="1" spans="1:28" x14ac:dyDescent="0.25">
      <c r="A67" s="3"/>
      <c r="B67" s="119" t="s">
        <v>76</v>
      </c>
      <c r="C67" s="120"/>
      <c r="D67" s="120"/>
      <c r="E67" s="121">
        <f t="array" ref="E67">IF($B67="","",SUMPRODUCT((TRIM(tblLines[Description (Product)])=$B67)*IF(ISNUMBER(tblLines[Qty (Packs)]),tblLines[Qty (Packs)],0)))</f>
        <v>651</v>
      </c>
      <c r="F67" s="121">
        <f t="array" ref="F67">IF($B67="","",SUMPRODUCT((TRIM(tblLines[Description (Product)])=$B67)*IF(ISNUMBER(tblLines[Weight (KG)]),tblLines[Weight (KG)],0)))</f>
        <v>16275</v>
      </c>
      <c r="G67" s="122"/>
      <c r="H67" s="123">
        <f t="array" ref="H67">IF($B67="","",SUMPRODUCT((TRIM(tblLines[Description (Product)])=$B67)*IF(ISNUMBER(tblLines[Amount]),tblLines[Amount],0)))</f>
        <v>2446032</v>
      </c>
      <c r="I67" s="124">
        <f t="array" ref="I67">IF($B67="","",SUMPRODUCT((TRIM(tblLines[Description (Product)])=$B67)*IF(ISNUMBER(tblLines[Commission]),tblLines[Commission],0)))</f>
        <v>8561.112000000001</v>
      </c>
      <c r="J67" s="122"/>
      <c r="K67" s="125">
        <f t="shared" si="4"/>
        <v>0.012643773616887734</v>
      </c>
      <c r="L67" s="120">
        <f t="shared" si="5"/>
        <v>0.012643773616887734</v>
      </c>
      <c r="M67" s="145" t="str">
        <f>IF($B67="","",IFERROR(INDEX(Products!$H$4:$H$500,MATCH($B67,Products!$B$4:$B$500,0)),"Unmapped"))</f>
        <v>Rice</v>
      </c>
      <c r="N67" s="3"/>
      <c r="AA67" s="6"/>
      <c r="AB67" s="6"/>
    </row>
    <row r="68" ht="18" customHeight="1" spans="1:28" x14ac:dyDescent="0.25">
      <c r="A68" s="3"/>
      <c r="B68" s="119" t="s">
        <v>77</v>
      </c>
      <c r="C68" s="120"/>
      <c r="D68" s="120"/>
      <c r="E68" s="121">
        <f t="array" ref="E68">IF($B68="","",SUMPRODUCT((TRIM(tblLines[Description (Product)])=$B68)*IF(ISNUMBER(tblLines[Qty (Packs)]),tblLines[Qty (Packs)],0)))</f>
        <v>250</v>
      </c>
      <c r="F68" s="121">
        <f t="array" ref="F68">IF($B68="","",SUMPRODUCT((TRIM(tblLines[Description (Product)])=$B68)*IF(ISNUMBER(tblLines[Weight (KG)]),tblLines[Weight (KG)],0)))</f>
        <v>6250</v>
      </c>
      <c r="G68" s="122"/>
      <c r="H68" s="123">
        <f t="array" ref="H68">IF($B68="","",SUMPRODUCT((TRIM(tblLines[Description (Product)])=$B68)*IF(ISNUMBER(tblLines[Amount]),tblLines[Amount],0)))</f>
        <v>1321875</v>
      </c>
      <c r="I68" s="124">
        <f t="array" ref="I68">IF($B68="","",SUMPRODUCT((TRIM(tblLines[Description (Product)])=$B68)*IF(ISNUMBER(tblLines[Commission]),tblLines[Commission],0)))</f>
        <v>4626.5625</v>
      </c>
      <c r="J68" s="122"/>
      <c r="K68" s="125">
        <f t="shared" si="4"/>
        <v>0.006832898445246617</v>
      </c>
      <c r="L68" s="120">
        <f t="shared" si="5"/>
        <v>0.006832898445246617</v>
      </c>
      <c r="M68" s="145" t="str">
        <f>IF($B68="","",IFERROR(INDEX(Products!$H$4:$H$500,MATCH($B68,Products!$B$4:$B$500,0)),"Unmapped"))</f>
        <v>Rice</v>
      </c>
      <c r="N68" s="3"/>
      <c r="AA68" s="6"/>
      <c r="AB68" s="6"/>
    </row>
    <row r="69" ht="18" customHeight="1" spans="1:28" x14ac:dyDescent="0.25">
      <c r="A69" s="3"/>
      <c r="B69" s="119" t="s">
        <v>78</v>
      </c>
      <c r="C69" s="120"/>
      <c r="D69" s="120"/>
      <c r="E69" s="121">
        <f t="array" ref="E69">IF($B69="","",SUMPRODUCT((TRIM(tblLines[Description (Product)])=$B69)*IF(ISNUMBER(tblLines[Qty (Packs)]),tblLines[Qty (Packs)],0)))</f>
        <v>280</v>
      </c>
      <c r="F69" s="121">
        <f t="array" ref="F69">IF($B69="","",SUMPRODUCT((TRIM(tblLines[Description (Product)])=$B69)*IF(ISNUMBER(tblLines[Weight (KG)]),tblLines[Weight (KG)],0)))</f>
        <v>7000</v>
      </c>
      <c r="G69" s="122"/>
      <c r="H69" s="123">
        <f t="array" ref="H69">IF($B69="","",SUMPRODUCT((TRIM(tblLines[Description (Product)])=$B69)*IF(ISNUMBER(tblLines[Amount]),tblLines[Amount],0)))</f>
        <v>2191250</v>
      </c>
      <c r="I69" s="124">
        <f t="array" ref="I69">IF($B69="","",SUMPRODUCT((TRIM(tblLines[Description (Product)])=$B69)*IF(ISNUMBER(tblLines[Commission]),tblLines[Commission],0)))</f>
        <v>7669.375</v>
      </c>
      <c r="J69" s="122"/>
      <c r="K69" s="125">
        <f t="shared" si="4"/>
        <v>0.011326781063373351</v>
      </c>
      <c r="L69" s="120">
        <f t="shared" si="5"/>
        <v>0.011326781063373351</v>
      </c>
      <c r="M69" s="145" t="str">
        <f>IF($B69="","",IFERROR(INDEX(Products!$H$4:$H$500,MATCH($B69,Products!$B$4:$B$500,0)),"Unmapped"))</f>
        <v>Rice</v>
      </c>
      <c r="N69" s="3"/>
      <c r="AA69" s="6"/>
      <c r="AB69" s="6"/>
    </row>
    <row r="70" ht="18" customHeight="1" spans="1:28" x14ac:dyDescent="0.25">
      <c r="A70" s="3"/>
      <c r="B70" s="119" t="s">
        <v>79</v>
      </c>
      <c r="C70" s="120"/>
      <c r="D70" s="120"/>
      <c r="E70" s="121">
        <f t="array" ref="E70">IF($B70="","",SUMPRODUCT((TRIM(tblLines[Description (Product)])=$B70)*IF(ISNUMBER(tblLines[Qty (Packs)]),tblLines[Qty (Packs)],0)))</f>
        <v>75</v>
      </c>
      <c r="F70" s="121">
        <f t="array" ref="F70">IF($B70="","",SUMPRODUCT((TRIM(tblLines[Description (Product)])=$B70)*IF(ISNUMBER(tblLines[Weight (KG)]),tblLines[Weight (KG)],0)))</f>
        <v>3000</v>
      </c>
      <c r="G70" s="122"/>
      <c r="H70" s="123">
        <f t="array" ref="H70">IF($B70="","",SUMPRODUCT((TRIM(tblLines[Description (Product)])=$B70)*IF(ISNUMBER(tblLines[Amount]),tblLines[Amount],0)))</f>
        <v>1016250</v>
      </c>
      <c r="I70" s="124">
        <f t="array" ref="I70">IF($B70="","",SUMPRODUCT((TRIM(tblLines[Description (Product)])=$B70)*IF(ISNUMBER(tblLines[Commission]),tblLines[Commission],0)))</f>
        <v>3556.875</v>
      </c>
      <c r="J70" s="122"/>
      <c r="K70" s="125">
        <f t="shared" si="4"/>
        <v>0.00525309355648747</v>
      </c>
      <c r="L70" s="120">
        <f t="shared" si="5"/>
        <v>0.00525309355648747</v>
      </c>
      <c r="M70" s="145" t="str">
        <f>IF($B70="","",IFERROR(INDEX(Products!$H$4:$H$500,MATCH($B70,Products!$B$4:$B$500,0)),"Unmapped"))</f>
        <v>Rice</v>
      </c>
      <c r="N70" s="3"/>
      <c r="AA70" s="6"/>
      <c r="AB70" s="6"/>
    </row>
    <row r="71" ht="18" customHeight="1" spans="1:28" x14ac:dyDescent="0.25">
      <c r="A71" s="3"/>
      <c r="B71" s="119" t="s">
        <v>80</v>
      </c>
      <c r="C71" s="120"/>
      <c r="D71" s="120"/>
      <c r="E71" s="121">
        <f t="array" ref="E71">IF($B71="","",SUMPRODUCT((TRIM(tblLines[Description (Product)])=$B71)*IF(ISNUMBER(tblLines[Qty (Packs)]),tblLines[Qty (Packs)],0)))</f>
        <v>315</v>
      </c>
      <c r="F71" s="121">
        <f t="array" ref="F71">IF($B71="","",SUMPRODUCT((TRIM(tblLines[Description (Product)])=$B71)*IF(ISNUMBER(tblLines[Weight (KG)]),tblLines[Weight (KG)],0)))</f>
        <v>6300</v>
      </c>
      <c r="G71" s="122"/>
      <c r="H71" s="123">
        <f t="array" ref="H71">IF($B71="","",SUMPRODUCT((TRIM(tblLines[Description (Product)])=$B71)*IF(ISNUMBER(tblLines[Amount]),tblLines[Amount],0)))</f>
        <v>2212000</v>
      </c>
      <c r="I71" s="124">
        <f t="array" ref="I71">IF($B71="","",SUMPRODUCT((TRIM(tblLines[Description (Product)])=$B71)*IF(ISNUMBER(tblLines[Commission]),tblLines[Commission],0)))</f>
        <v>7742</v>
      </c>
      <c r="J71" s="122"/>
      <c r="K71" s="125">
        <f t="shared" si="4"/>
        <v>0.01143403980019708</v>
      </c>
      <c r="L71" s="120">
        <f t="shared" si="5"/>
        <v>0.01143403980019708</v>
      </c>
      <c r="M71" s="145" t="str">
        <f>IF($B71="","",IFERROR(INDEX(Products!$H$4:$H$500,MATCH($B71,Products!$B$4:$B$500,0)),"Unmapped"))</f>
        <v>Rice</v>
      </c>
      <c r="N71" s="3"/>
      <c r="AA71" s="6"/>
      <c r="AB71" s="6"/>
    </row>
    <row r="72" ht="18" customHeight="1" spans="1:28" x14ac:dyDescent="0.25">
      <c r="A72" s="3"/>
      <c r="B72" s="119" t="s">
        <v>81</v>
      </c>
      <c r="C72" s="120"/>
      <c r="D72" s="120"/>
      <c r="E72" s="121">
        <f t="array" ref="E72">IF($B72="","",SUMPRODUCT((TRIM(tblLines[Description (Product)])=$B72)*IF(ISNUMBER(tblLines[Qty (Packs)]),tblLines[Qty (Packs)],0)))</f>
        <v>200</v>
      </c>
      <c r="F72" s="121">
        <f t="array" ref="F72">IF($B72="","",SUMPRODUCT((TRIM(tblLines[Description (Product)])=$B72)*IF(ISNUMBER(tblLines[Weight (KG)]),tblLines[Weight (KG)],0)))</f>
        <v>4000</v>
      </c>
      <c r="G72" s="122"/>
      <c r="H72" s="123">
        <f t="array" ref="H72">IF($B72="","",SUMPRODUCT((TRIM(tblLines[Description (Product)])=$B72)*IF(ISNUMBER(tblLines[Amount]),tblLines[Amount],0)))</f>
        <v>1365000</v>
      </c>
      <c r="I72" s="124">
        <f t="array" ref="I72">IF($B72="","",SUMPRODUCT((TRIM(tblLines[Description (Product)])=$B72)*IF(ISNUMBER(tblLines[Commission]),tblLines[Commission],0)))</f>
        <v>4777.5</v>
      </c>
      <c r="J72" s="122"/>
      <c r="K72" s="125">
        <f t="shared" si="4"/>
        <v>0.007055815699488705</v>
      </c>
      <c r="L72" s="120">
        <f t="shared" si="5"/>
        <v>0.007055815699488705</v>
      </c>
      <c r="M72" s="145" t="str">
        <f>IF($B72="","",IFERROR(INDEX(Products!$H$4:$H$500,MATCH($B72,Products!$B$4:$B$500,0)),"Unmapped"))</f>
        <v>Rice</v>
      </c>
      <c r="N72" s="3"/>
      <c r="AA72" s="6"/>
      <c r="AB72" s="6"/>
    </row>
    <row r="73" ht="18" customHeight="1" spans="1:28" x14ac:dyDescent="0.25">
      <c r="A73" s="3"/>
      <c r="B73" s="119" t="s">
        <v>82</v>
      </c>
      <c r="C73" s="120"/>
      <c r="D73" s="120"/>
      <c r="E73" s="121">
        <f t="array" ref="E73">IF($B73="","",SUMPRODUCT((TRIM(tblLines[Description (Product)])=$B73)*IF(ISNUMBER(tblLines[Qty (Packs)]),tblLines[Qty (Packs)],0)))</f>
        <v>5311</v>
      </c>
      <c r="F73" s="121">
        <f t="array" ref="F73">IF($B73="","",SUMPRODUCT((TRIM(tblLines[Description (Product)])=$B73)*IF(ISNUMBER(tblLines[Weight (KG)]),tblLines[Weight (KG)],0)))</f>
        <v>132775</v>
      </c>
      <c r="G73" s="122"/>
      <c r="H73" s="123">
        <f t="array" ref="H73">IF($B73="","",SUMPRODUCT((TRIM(tblLines[Description (Product)])=$B73)*IF(ISNUMBER(tblLines[Amount]),tblLines[Amount],0)))</f>
        <v>44828611</v>
      </c>
      <c r="I73" s="124">
        <f t="array" ref="I73">IF($B73="","",SUMPRODUCT((TRIM(tblLines[Description (Product)])=$B73)*IF(ISNUMBER(tblLines[Commission]),tblLines[Commission],0)))</f>
        <v>156900.1385</v>
      </c>
      <c r="J73" s="122"/>
      <c r="K73" s="125">
        <f t="shared" si="4"/>
        <v>0.2317233826227634</v>
      </c>
      <c r="L73" s="120">
        <f t="shared" si="5"/>
        <v>0.2317233826227634</v>
      </c>
      <c r="M73" s="145" t="str">
        <f>IF($B73="","",IFERROR(INDEX(Products!$H$4:$H$500,MATCH($B73,Products!$B$4:$B$500,0)),"Unmapped"))</f>
        <v>Rice</v>
      </c>
      <c r="N73" s="3"/>
      <c r="AA73" s="6"/>
      <c r="AB73" s="6"/>
    </row>
    <row r="74" ht="18" customHeight="1" spans="1:28" x14ac:dyDescent="0.25">
      <c r="A74" s="3"/>
      <c r="B74" s="119" t="s">
        <v>83</v>
      </c>
      <c r="C74" s="120"/>
      <c r="D74" s="120"/>
      <c r="E74" s="121">
        <f t="array" ref="E74">IF($B74="","",SUMPRODUCT((TRIM(tblLines[Description (Product)])=$B74)*IF(ISNUMBER(tblLines[Qty (Packs)]),tblLines[Qty (Packs)],0)))</f>
        <v>100</v>
      </c>
      <c r="F74" s="121">
        <f t="array" ref="F74">IF($B74="","",SUMPRODUCT((TRIM(tblLines[Description (Product)])=$B74)*IF(ISNUMBER(tblLines[Weight (KG)]),tblLines[Weight (KG)],0)))</f>
        <v>4000</v>
      </c>
      <c r="G74" s="122"/>
      <c r="H74" s="123">
        <f t="array" ref="H74">IF($B74="","",SUMPRODUCT((TRIM(tblLines[Description (Product)])=$B74)*IF(ISNUMBER(tblLines[Amount]),tblLines[Amount],0)))</f>
        <v>1404000</v>
      </c>
      <c r="I74" s="124">
        <f t="array" ref="I74">IF($B74="","",SUMPRODUCT((TRIM(tblLines[Description (Product)])=$B74)*IF(ISNUMBER(tblLines[Commission]),tblLines[Commission],0)))</f>
        <v>4914</v>
      </c>
      <c r="J74" s="122"/>
      <c r="K74" s="125">
        <f t="shared" si="4"/>
        <v>0.007257410433759811</v>
      </c>
      <c r="L74" s="120">
        <f t="shared" si="5"/>
        <v>0.007257410433759811</v>
      </c>
      <c r="M74" s="145" t="str">
        <f>IF($B74="","",IFERROR(INDEX(Products!$H$4:$H$500,MATCH($B74,Products!$B$4:$B$500,0)),"Unmapped"))</f>
        <v>Rice</v>
      </c>
      <c r="N74" s="3"/>
      <c r="AA74" s="6"/>
      <c r="AB74" s="6"/>
    </row>
    <row r="75" ht="18" customHeight="1" spans="1:28" x14ac:dyDescent="0.25">
      <c r="A75" s="3"/>
      <c r="B75" s="119" t="s">
        <v>84</v>
      </c>
      <c r="C75" s="120"/>
      <c r="D75" s="120"/>
      <c r="E75" s="121">
        <f t="array" ref="E75">IF($B75="","",SUMPRODUCT((TRIM(tblLines[Description (Product)])=$B75)*IF(ISNUMBER(tblLines[Qty (Packs)]),tblLines[Qty (Packs)],0)))</f>
        <v>17100</v>
      </c>
      <c r="F75" s="121">
        <f t="array" ref="F75">IF($B75="","",SUMPRODUCT((TRIM(tblLines[Description (Product)])=$B75)*IF(ISNUMBER(tblLines[Weight (KG)]),tblLines[Weight (KG)],0)))</f>
        <v>427500</v>
      </c>
      <c r="G75" s="122"/>
      <c r="H75" s="123">
        <f t="array" ref="H75">IF($B75="","",SUMPRODUCT((TRIM(tblLines[Description (Product)])=$B75)*IF(ISNUMBER(tblLines[Amount]),tblLines[Amount],0)))</f>
        <v>78181250</v>
      </c>
      <c r="I75" s="124">
        <f t="array" ref="I75">IF($B75="","",SUMPRODUCT((TRIM(tblLines[Description (Product)])=$B75)*IF(ISNUMBER(tblLines[Commission]),tblLines[Commission],0)))</f>
        <v>273634.375</v>
      </c>
      <c r="J75" s="122"/>
      <c r="K75" s="125">
        <f t="shared" si="4"/>
        <v>0.4041263671469973</v>
      </c>
      <c r="L75" s="120">
        <f t="shared" si="5"/>
        <v>0.4041263671469973</v>
      </c>
      <c r="M75" s="145" t="str">
        <f>IF($B75="","",IFERROR(INDEX(Products!$H$4:$H$500,MATCH($B75,Products!$B$4:$B$500,0)),"Unmapped"))</f>
        <v>Rice</v>
      </c>
      <c r="N75" s="3"/>
      <c r="AA75" s="6"/>
      <c r="AB75" s="6"/>
    </row>
    <row r="76" ht="18" customHeight="1" spans="1:28" x14ac:dyDescent="0.25">
      <c r="A76" s="3"/>
      <c r="B76" s="119" t="s">
        <v>85</v>
      </c>
      <c r="C76" s="120"/>
      <c r="D76" s="120"/>
      <c r="E76" s="121">
        <f t="array" ref="E76">IF($B76="","",SUMPRODUCT((TRIM(tblLines[Description (Product)])=$B76)*IF(ISNUMBER(tblLines[Qty (Packs)]),tblLines[Qty (Packs)],0)))</f>
        <v>100</v>
      </c>
      <c r="F76" s="121">
        <f t="array" ref="F76">IF($B76="","",SUMPRODUCT((TRIM(tblLines[Description (Product)])=$B76)*IF(ISNUMBER(tblLines[Weight (KG)]),tblLines[Weight (KG)],0)))</f>
        <v>4000</v>
      </c>
      <c r="G76" s="122"/>
      <c r="H76" s="123">
        <f t="array" ref="H76">IF($B76="","",SUMPRODUCT((TRIM(tblLines[Description (Product)])=$B76)*IF(ISNUMBER(tblLines[Amount]),tblLines[Amount],0)))</f>
        <v>935000</v>
      </c>
      <c r="I76" s="124">
        <f t="array" ref="I76">IF($B76="","",SUMPRODUCT((TRIM(tblLines[Description (Product)])=$B76)*IF(ISNUMBER(tblLines[Commission]),tblLines[Commission],0)))</f>
        <v>3272.5</v>
      </c>
      <c r="J76" s="122"/>
      <c r="K76" s="125">
        <f t="shared" si="4"/>
        <v>0.0048331045267559995</v>
      </c>
      <c r="L76" s="120">
        <f t="shared" si="5"/>
        <v>0.0048331045267559995</v>
      </c>
      <c r="M76" s="145" t="str">
        <f>IF($B76="","",IFERROR(INDEX(Products!$H$4:$H$500,MATCH($B76,Products!$B$4:$B$500,0)),"Unmapped"))</f>
        <v>Rice</v>
      </c>
      <c r="N76" s="3"/>
      <c r="AA76" s="6"/>
      <c r="AB76" s="6"/>
    </row>
    <row r="77" ht="18" customHeight="1" spans="1:28" x14ac:dyDescent="0.25">
      <c r="A77" s="3"/>
      <c r="B77" s="119" t="s">
        <v>86</v>
      </c>
      <c r="C77" s="120"/>
      <c r="D77" s="120"/>
      <c r="E77" s="121">
        <f t="array" ref="E77">IF($B77="","",SUMPRODUCT((TRIM(tblLines[Description (Product)])=$B77)*IF(ISNUMBER(tblLines[Qty (Packs)]),tblLines[Qty (Packs)],0)))</f>
        <v>140</v>
      </c>
      <c r="F77" s="121">
        <f t="array" ref="F77">IF($B77="","",SUMPRODUCT((TRIM(tblLines[Description (Product)])=$B77)*IF(ISNUMBER(tblLines[Weight (KG)]),tblLines[Weight (KG)],0)))</f>
        <v>3500</v>
      </c>
      <c r="G77" s="122"/>
      <c r="H77" s="123">
        <f t="array" ref="H77">IF($B77="","",SUMPRODUCT((TRIM(tblLines[Description (Product)])=$B77)*IF(ISNUMBER(tblLines[Amount]),tblLines[Amount],0)))</f>
        <v>790313</v>
      </c>
      <c r="I77" s="124">
        <f t="array" ref="I77">IF($B77="","",SUMPRODUCT((TRIM(tblLines[Description (Product)])=$B77)*IF(ISNUMBER(tblLines[Commission]),tblLines[Commission],0)))</f>
        <v>2766.0955</v>
      </c>
      <c r="J77" s="122"/>
      <c r="K77" s="125">
        <f t="shared" si="4"/>
        <v>0.004085203569897449</v>
      </c>
      <c r="L77" s="120">
        <f t="shared" si="5"/>
        <v>0.004085203569897449</v>
      </c>
      <c r="M77" s="145" t="str">
        <f>IF($B77="","",IFERROR(INDEX(Products!$H$4:$H$500,MATCH($B77,Products!$B$4:$B$500,0)),"Unmapped"))</f>
        <v>Rice</v>
      </c>
      <c r="N77" s="3"/>
      <c r="AA77" s="6"/>
      <c r="AB77" s="6"/>
    </row>
    <row r="78" ht="18" customHeight="1" spans="1:28" x14ac:dyDescent="0.25">
      <c r="A78" s="3"/>
      <c r="B78" s="119" t="s">
        <v>87</v>
      </c>
      <c r="C78" s="120"/>
      <c r="D78" s="120"/>
      <c r="E78" s="121">
        <f t="array" ref="E78">IF($B78="","",SUMPRODUCT((TRIM(tblLines[Description (Product)])=$B78)*IF(ISNUMBER(tblLines[Qty (Packs)]),tblLines[Qty (Packs)],0)))</f>
        <v>50</v>
      </c>
      <c r="F78" s="121">
        <f t="array" ref="F78">IF($B78="","",SUMPRODUCT((TRIM(tblLines[Description (Product)])=$B78)*IF(ISNUMBER(tblLines[Weight (KG)]),tblLines[Weight (KG)],0)))</f>
        <v>2000</v>
      </c>
      <c r="G78" s="122"/>
      <c r="H78" s="123">
        <f t="array" ref="H78">IF($B78="","",SUMPRODUCT((TRIM(tblLines[Description (Product)])=$B78)*IF(ISNUMBER(tblLines[Amount]),tblLines[Amount],0)))</f>
        <v>477500</v>
      </c>
      <c r="I78" s="124">
        <f t="array" ref="I78">IF($B78="","",SUMPRODUCT((TRIM(tblLines[Description (Product)])=$B78)*IF(ISNUMBER(tblLines[Commission]),tblLines[Commission],0)))</f>
        <v>1671.25</v>
      </c>
      <c r="J78" s="122"/>
      <c r="K78" s="125">
        <f t="shared" si="4"/>
        <v>0.0024682432208834116</v>
      </c>
      <c r="L78" s="120">
        <f t="shared" si="5"/>
        <v>0.0024682432208834116</v>
      </c>
      <c r="M78" s="145" t="str">
        <f>IF($B78="","",IFERROR(INDEX(Products!$H$4:$H$500,MATCH($B78,Products!$B$4:$B$500,0)),"Unmapped"))</f>
        <v>Rice</v>
      </c>
      <c r="N78" s="3"/>
      <c r="AA78" s="6"/>
      <c r="AB78" s="6"/>
    </row>
    <row r="79" ht="18" customHeight="1" spans="1:28" x14ac:dyDescent="0.25">
      <c r="A79" s="3"/>
      <c r="B79" s="119" t="s">
        <v>88</v>
      </c>
      <c r="C79" s="120"/>
      <c r="D79" s="120"/>
      <c r="E79" s="121">
        <f t="array" ref="E79">IF($B79="","",SUMPRODUCT((TRIM(tblLines[Description (Product)])=$B79)*IF(ISNUMBER(tblLines[Qty (Packs)]),tblLines[Qty (Packs)],0)))</f>
        <v>1370</v>
      </c>
      <c r="F79" s="121">
        <f t="array" ref="F79">IF($B79="","",SUMPRODUCT((TRIM(tblLines[Description (Product)])=$B79)*IF(ISNUMBER(tblLines[Weight (KG)]),tblLines[Weight (KG)],0)))</f>
        <v>34250</v>
      </c>
      <c r="G79" s="122"/>
      <c r="H79" s="123">
        <f t="array" ref="H79">IF($B79="","",SUMPRODUCT((TRIM(tblLines[Description (Product)])=$B79)*IF(ISNUMBER(tblLines[Amount]),tblLines[Amount],0)))</f>
        <v>9178750</v>
      </c>
      <c r="I79" s="124">
        <f t="array" ref="I79">IF($B79="","",SUMPRODUCT((TRIM(tblLines[Description (Product)])=$B79)*IF(ISNUMBER(tblLines[Commission]),tblLines[Commission],0)))</f>
        <v>32125.625</v>
      </c>
      <c r="J79" s="122"/>
      <c r="K79" s="125">
        <f t="shared" si="4"/>
        <v>0.04744583762027982</v>
      </c>
      <c r="L79" s="120">
        <f t="shared" si="5"/>
        <v>0.04744583762027982</v>
      </c>
      <c r="M79" s="145" t="str">
        <f>IF($B79="","",IFERROR(INDEX(Products!$H$4:$H$500,MATCH($B79,Products!$B$4:$B$500,0)),"Unmapped"))</f>
        <v>Rice</v>
      </c>
      <c r="N79" s="3"/>
      <c r="AA79" s="6"/>
      <c r="AB79" s="6"/>
    </row>
    <row r="80" ht="18" customHeight="1" spans="1:28" x14ac:dyDescent="0.25">
      <c r="A80" s="3"/>
      <c r="B80" s="119"/>
      <c r="C80" s="120"/>
      <c r="D80" s="120"/>
      <c r="E80" s="121">
        <f t="array" ref="E80">IF($B80="","",SUMPRODUCT((TRIM(tblLines[Description (Product)])=$B80)*IF(ISNUMBER(tblLines[Qty (Packs)]),tblLines[Qty (Packs)],0)))</f>
      </c>
      <c r="F80" s="121">
        <f t="array" ref="F80">IF($B80="","",SUMPRODUCT((TRIM(tblLines[Description (Product)])=$B80)*IF(ISNUMBER(tblLines[Weight (KG)]),tblLines[Weight (KG)],0)))</f>
      </c>
      <c r="G80" s="122"/>
      <c r="H80" s="123">
        <f t="array" ref="H80">IF($B80="","",SUMPRODUCT((TRIM(tblLines[Description (Product)])=$B80)*IF(ISNUMBER(tblLines[Amount]),tblLines[Amount],0)))</f>
      </c>
      <c r="I80" s="124">
        <f t="array" ref="I80">IF($B80="","",SUMPRODUCT((TRIM(tblLines[Description (Product)])=$B80)*IF(ISNUMBER(tblLines[Commission]),tblLines[Commission],0)))</f>
      </c>
      <c r="J80" s="122"/>
      <c r="K80" s="125">
        <f t="shared" si="4"/>
      </c>
      <c r="L80" s="120">
        <f t="shared" si="5"/>
      </c>
      <c r="M80" s="145">
        <f>IF($B80="","",IFERROR(INDEX(Products!$H$4:$H$500,MATCH($B80,Products!$B$4:$B$500,0)),"Unmapped"))</f>
      </c>
      <c r="N80" s="3"/>
      <c r="AA80" s="6"/>
      <c r="AB80" s="6"/>
    </row>
    <row r="81" ht="18" customHeight="1" spans="1:28" x14ac:dyDescent="0.25">
      <c r="A81" s="3"/>
      <c r="B81" s="119"/>
      <c r="C81" s="120"/>
      <c r="D81" s="120"/>
      <c r="E81" s="121">
        <f t="array" ref="E81">IF($B81="","",SUMPRODUCT((TRIM(tblLines[Description (Product)])=$B81)*IF(ISNUMBER(tblLines[Qty (Packs)]),tblLines[Qty (Packs)],0)))</f>
      </c>
      <c r="F81" s="121">
        <f t="array" ref="F81">IF($B81="","",SUMPRODUCT((TRIM(tblLines[Description (Product)])=$B81)*IF(ISNUMBER(tblLines[Weight (KG)]),tblLines[Weight (KG)],0)))</f>
      </c>
      <c r="G81" s="122"/>
      <c r="H81" s="123">
        <f t="array" ref="H81">IF($B81="","",SUMPRODUCT((TRIM(tblLines[Description (Product)])=$B81)*IF(ISNUMBER(tblLines[Amount]),tblLines[Amount],0)))</f>
      </c>
      <c r="I81" s="124">
        <f t="array" ref="I81">IF($B81="","",SUMPRODUCT((TRIM(tblLines[Description (Product)])=$B81)*IF(ISNUMBER(tblLines[Commission]),tblLines[Commission],0)))</f>
      </c>
      <c r="J81" s="122"/>
      <c r="K81" s="125">
        <f t="shared" si="4"/>
      </c>
      <c r="L81" s="120">
        <f t="shared" si="5"/>
      </c>
      <c r="M81" s="145">
        <f>IF($B81="","",IFERROR(INDEX(Products!$H$4:$H$500,MATCH($B81,Products!$B$4:$B$500,0)),"Unmapped"))</f>
      </c>
      <c r="N81" s="3"/>
      <c r="AA81" s="6"/>
      <c r="AB81" s="6"/>
    </row>
    <row r="82" ht="18" customHeight="1" spans="1:28" x14ac:dyDescent="0.25">
      <c r="A82" s="3"/>
      <c r="B82" s="119"/>
      <c r="C82" s="120"/>
      <c r="D82" s="120"/>
      <c r="E82" s="121">
        <f t="array" ref="E82">IF($B82="","",SUMPRODUCT((TRIM(tblLines[Description (Product)])=$B82)*IF(ISNUMBER(tblLines[Qty (Packs)]),tblLines[Qty (Packs)],0)))</f>
      </c>
      <c r="F82" s="121">
        <f t="array" ref="F82">IF($B82="","",SUMPRODUCT((TRIM(tblLines[Description (Product)])=$B82)*IF(ISNUMBER(tblLines[Weight (KG)]),tblLines[Weight (KG)],0)))</f>
      </c>
      <c r="G82" s="122"/>
      <c r="H82" s="123">
        <f t="array" ref="H82">IF($B82="","",SUMPRODUCT((TRIM(tblLines[Description (Product)])=$B82)*IF(ISNUMBER(tblLines[Amount]),tblLines[Amount],0)))</f>
      </c>
      <c r="I82" s="124">
        <f t="array" ref="I82">IF($B82="","",SUMPRODUCT((TRIM(tblLines[Description (Product)])=$B82)*IF(ISNUMBER(tblLines[Commission]),tblLines[Commission],0)))</f>
      </c>
      <c r="J82" s="122"/>
      <c r="K82" s="125">
        <f t="shared" si="4"/>
      </c>
      <c r="L82" s="120">
        <f t="shared" si="5"/>
      </c>
      <c r="M82" s="145">
        <f>IF($B82="","",IFERROR(INDEX(Products!$H$4:$H$500,MATCH($B82,Products!$B$4:$B$500,0)),"Unmapped"))</f>
      </c>
      <c r="N82" s="3"/>
      <c r="AA82" s="6"/>
      <c r="AB82" s="6"/>
    </row>
    <row r="83" ht="18" customHeight="1" spans="1:28" x14ac:dyDescent="0.25">
      <c r="A83" s="3"/>
      <c r="B83" s="119"/>
      <c r="C83" s="120"/>
      <c r="D83" s="120"/>
      <c r="E83" s="121">
        <f t="array" ref="E83">IF($B83="","",SUMPRODUCT((TRIM(tblLines[Description (Product)])=$B83)*IF(ISNUMBER(tblLines[Qty (Packs)]),tblLines[Qty (Packs)],0)))</f>
      </c>
      <c r="F83" s="121">
        <f t="array" ref="F83">IF($B83="","",SUMPRODUCT((TRIM(tblLines[Description (Product)])=$B83)*IF(ISNUMBER(tblLines[Weight (KG)]),tblLines[Weight (KG)],0)))</f>
      </c>
      <c r="G83" s="122"/>
      <c r="H83" s="123">
        <f t="array" ref="H83">IF($B83="","",SUMPRODUCT((TRIM(tblLines[Description (Product)])=$B83)*IF(ISNUMBER(tblLines[Amount]),tblLines[Amount],0)))</f>
      </c>
      <c r="I83" s="124">
        <f t="array" ref="I83">IF($B83="","",SUMPRODUCT((TRIM(tblLines[Description (Product)])=$B83)*IF(ISNUMBER(tblLines[Commission]),tblLines[Commission],0)))</f>
      </c>
      <c r="J83" s="122"/>
      <c r="K83" s="125">
        <f t="shared" si="4"/>
      </c>
      <c r="L83" s="120">
        <f t="shared" si="5"/>
      </c>
      <c r="M83" s="145">
        <f>IF($B83="","",IFERROR(INDEX(Products!$H$4:$H$500,MATCH($B83,Products!$B$4:$B$500,0)),"Unmapped"))</f>
      </c>
      <c r="N83" s="3"/>
      <c r="AA83" s="6"/>
      <c r="AB83" s="6"/>
    </row>
    <row r="84" ht="18" customHeight="1" spans="1:28" x14ac:dyDescent="0.25">
      <c r="A84" s="3"/>
      <c r="B84" s="119"/>
      <c r="C84" s="120"/>
      <c r="D84" s="120"/>
      <c r="E84" s="121">
        <f t="array" ref="E84">IF($B84="","",SUMPRODUCT((TRIM(tblLines[Description (Product)])=$B84)*IF(ISNUMBER(tblLines[Qty (Packs)]),tblLines[Qty (Packs)],0)))</f>
      </c>
      <c r="F84" s="121">
        <f t="array" ref="F84">IF($B84="","",SUMPRODUCT((TRIM(tblLines[Description (Product)])=$B84)*IF(ISNUMBER(tblLines[Weight (KG)]),tblLines[Weight (KG)],0)))</f>
      </c>
      <c r="G84" s="122"/>
      <c r="H84" s="123">
        <f t="array" ref="H84">IF($B84="","",SUMPRODUCT((TRIM(tblLines[Description (Product)])=$B84)*IF(ISNUMBER(tblLines[Amount]),tblLines[Amount],0)))</f>
      </c>
      <c r="I84" s="124">
        <f t="array" ref="I84">IF($B84="","",SUMPRODUCT((TRIM(tblLines[Description (Product)])=$B84)*IF(ISNUMBER(tblLines[Commission]),tblLines[Commission],0)))</f>
      </c>
      <c r="J84" s="122"/>
      <c r="K84" s="125">
        <f t="shared" si="4"/>
      </c>
      <c r="L84" s="120">
        <f t="shared" si="5"/>
      </c>
      <c r="M84" s="145">
        <f>IF($B84="","",IFERROR(INDEX(Products!$H$4:$H$500,MATCH($B84,Products!$B$4:$B$500,0)),"Unmapped"))</f>
      </c>
      <c r="N84" s="3"/>
      <c r="AA84" s="6"/>
      <c r="AB84" s="6"/>
    </row>
    <row r="85" ht="18" customHeight="1" spans="1:28" x14ac:dyDescent="0.25">
      <c r="A85" s="3"/>
      <c r="B85" s="119"/>
      <c r="C85" s="120"/>
      <c r="D85" s="120"/>
      <c r="E85" s="121">
        <f t="array" ref="E85">IF($B85="","",SUMPRODUCT((TRIM(tblLines[Description (Product)])=$B85)*IF(ISNUMBER(tblLines[Qty (Packs)]),tblLines[Qty (Packs)],0)))</f>
      </c>
      <c r="F85" s="121">
        <f t="array" ref="F85">IF($B85="","",SUMPRODUCT((TRIM(tblLines[Description (Product)])=$B85)*IF(ISNUMBER(tblLines[Weight (KG)]),tblLines[Weight (KG)],0)))</f>
      </c>
      <c r="G85" s="122"/>
      <c r="H85" s="123">
        <f t="array" ref="H85">IF($B85="","",SUMPRODUCT((TRIM(tblLines[Description (Product)])=$B85)*IF(ISNUMBER(tblLines[Amount]),tblLines[Amount],0)))</f>
      </c>
      <c r="I85" s="124">
        <f t="array" ref="I85">IF($B85="","",SUMPRODUCT((TRIM(tblLines[Description (Product)])=$B85)*IF(ISNUMBER(tblLines[Commission]),tblLines[Commission],0)))</f>
      </c>
      <c r="J85" s="122"/>
      <c r="K85" s="125">
        <f t="shared" si="4"/>
      </c>
      <c r="L85" s="120">
        <f t="shared" si="5"/>
      </c>
      <c r="M85" s="145">
        <f>IF($B85="","",IFERROR(INDEX(Products!$H$4:$H$500,MATCH($B85,Products!$B$4:$B$500,0)),"Unmapped"))</f>
      </c>
      <c r="N85" s="3"/>
      <c r="AA85" s="6"/>
      <c r="AB85" s="6"/>
    </row>
    <row r="86" ht="18" customHeight="1" spans="1:28" x14ac:dyDescent="0.25">
      <c r="A86" s="3"/>
      <c r="B86" s="119"/>
      <c r="C86" s="120"/>
      <c r="D86" s="120"/>
      <c r="E86" s="121">
        <f t="array" ref="E86">IF($B86="","",SUMPRODUCT((TRIM(tblLines[Description (Product)])=$B86)*IF(ISNUMBER(tblLines[Qty (Packs)]),tblLines[Qty (Packs)],0)))</f>
      </c>
      <c r="F86" s="121">
        <f t="array" ref="F86">IF($B86="","",SUMPRODUCT((TRIM(tblLines[Description (Product)])=$B86)*IF(ISNUMBER(tblLines[Weight (KG)]),tblLines[Weight (KG)],0)))</f>
      </c>
      <c r="G86" s="122"/>
      <c r="H86" s="123">
        <f t="array" ref="H86">IF($B86="","",SUMPRODUCT((TRIM(tblLines[Description (Product)])=$B86)*IF(ISNUMBER(tblLines[Amount]),tblLines[Amount],0)))</f>
      </c>
      <c r="I86" s="124">
        <f t="array" ref="I86">IF($B86="","",SUMPRODUCT((TRIM(tblLines[Description (Product)])=$B86)*IF(ISNUMBER(tblLines[Commission]),tblLines[Commission],0)))</f>
      </c>
      <c r="J86" s="122"/>
      <c r="K86" s="125">
        <f t="shared" si="4"/>
      </c>
      <c r="L86" s="120">
        <f t="shared" si="5"/>
      </c>
      <c r="M86" s="145">
        <f>IF($B86="","",IFERROR(INDEX(Products!$H$4:$H$500,MATCH($B86,Products!$B$4:$B$500,0)),"Unmapped"))</f>
      </c>
      <c r="N86" s="3"/>
      <c r="AA86" s="6"/>
      <c r="AB86" s="6"/>
    </row>
    <row r="87" ht="18" customHeight="1" spans="1:28" x14ac:dyDescent="0.25">
      <c r="A87" s="3"/>
      <c r="B87" s="127"/>
      <c r="C87" s="128"/>
      <c r="D87" s="128"/>
      <c r="E87" s="129">
        <f t="array" ref="E87">IF($B87="","",SUMPRODUCT((TRIM(tblLines[Description (Product)])=$B87)*IF(ISNUMBER(tblLines[Qty (Packs)]),tblLines[Qty (Packs)],0)))</f>
      </c>
      <c r="F87" s="129">
        <f t="array" ref="F87">IF($B87="","",SUMPRODUCT((TRIM(tblLines[Description (Product)])=$B87)*IF(ISNUMBER(tblLines[Weight (KG)]),tblLines[Weight (KG)],0)))</f>
      </c>
      <c r="G87" s="130"/>
      <c r="H87" s="131">
        <f t="array" ref="H87">IF($B87="","",SUMPRODUCT((TRIM(tblLines[Description (Product)])=$B87)*IF(ISNUMBER(tblLines[Amount]),tblLines[Amount],0)))</f>
      </c>
      <c r="I87" s="132">
        <f t="array" ref="I87">IF($B87="","",SUMPRODUCT((TRIM(tblLines[Description (Product)])=$B87)*IF(ISNUMBER(tblLines[Commission]),tblLines[Commission],0)))</f>
      </c>
      <c r="J87" s="130"/>
      <c r="K87" s="133">
        <f t="shared" si="4"/>
      </c>
      <c r="L87" s="128">
        <f t="shared" si="5"/>
      </c>
      <c r="M87" s="146">
        <f>IF($B87="","",IFERROR(INDEX(Products!$H$4:$H$500,MATCH($B87,Products!$B$4:$B$500,0)),"Unmapped"))</f>
      </c>
      <c r="N87" s="3"/>
      <c r="AA87" s="6"/>
      <c r="AB87" s="6"/>
    </row>
    <row r="88" ht="10.5" customHeight="1" spans="1:28" x14ac:dyDescent="0.25">
      <c r="A88" s="3"/>
      <c r="B88" s="95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96"/>
      <c r="N88" s="3"/>
      <c r="AA88" s="6"/>
      <c r="AB88" s="6"/>
    </row>
    <row r="89" ht="15" customHeight="1" spans="1:28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AA89" s="6"/>
      <c r="AB89" s="6"/>
    </row>
    <row r="90" ht="15" customHeight="1" spans="1:28" x14ac:dyDescent="0.25">
      <c r="A90" s="3"/>
      <c r="B90" s="3" t="s">
        <v>89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AA90" s="6"/>
      <c r="AB90" s="6"/>
    </row>
    <row r="91" ht="15" customHeight="1" spans="1:28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AA91" s="6"/>
      <c r="AB91" s="6"/>
    </row>
    <row r="92" ht="15" customHeight="1" spans="1:28" x14ac:dyDescent="0.25">
      <c r="A92" s="3"/>
      <c r="B92" s="88" t="s">
        <v>90</v>
      </c>
      <c r="C92" s="89" t="str">
        <f>"▲  "&amp;TEXT(IF($B$7=0,0,$B$93/$B$7),"0.0%")&amp;"  of sales"</f>
        <v>▲  0.0%  of sales</v>
      </c>
      <c r="D92" s="3"/>
      <c r="E92" s="88" t="s">
        <v>91</v>
      </c>
      <c r="F92" s="89" t="str">
        <f>"●  "&amp;TEXT(IF($B$7=0,0,$E$93/$B$7),"0.0%")&amp;"  still due"</f>
        <v>●  100.0%  still due</v>
      </c>
      <c r="G92" s="3"/>
      <c r="H92" s="88" t="s">
        <v>92</v>
      </c>
      <c r="I92" s="90"/>
      <c r="J92" s="3"/>
      <c r="K92" s="88" t="s">
        <v>93</v>
      </c>
      <c r="L92" s="91"/>
      <c r="M92" s="3"/>
      <c r="N92" s="3"/>
      <c r="AA92" s="6"/>
      <c r="AB92" s="6"/>
    </row>
    <row r="93" ht="25.8" customHeight="1" spans="2:28" x14ac:dyDescent="0.25">
      <c r="B93" s="147">
        <f>SUM(tblPayments[Amount])</f>
        <v>0</v>
      </c>
      <c r="C93" s="93"/>
      <c r="D93" s="3"/>
      <c r="E93" s="147">
        <f>$B$7-$B$93</f>
        <v>193457434</v>
      </c>
      <c r="F93" s="93"/>
      <c r="G93" s="3"/>
      <c r="H93" s="148">
        <f>IF($B$7=0,"",$B$93/$B$7)</f>
        <v>0</v>
      </c>
      <c r="I93" s="93"/>
      <c r="J93" s="3"/>
      <c r="K93" s="92">
        <f>COUNT(tblPayments[Amount])</f>
        <v>0</v>
      </c>
      <c r="L93" s="93"/>
      <c r="AA93" s="6"/>
      <c r="AB93" s="6"/>
    </row>
    <row r="94" ht="15" customHeight="1" spans="27:28" x14ac:dyDescent="0.25">
      <c r="AA94" s="6"/>
      <c r="AB94" s="6"/>
    </row>
    <row r="95" ht="15" customHeight="1" spans="27:28" x14ac:dyDescent="0.25">
      <c r="AA95" s="6"/>
      <c r="AB95" s="6"/>
    </row>
    <row r="96" ht="16.2" customHeight="1" spans="2:28" x14ac:dyDescent="0.25">
      <c r="B96" s="98" t="s">
        <v>94</v>
      </c>
      <c r="C96" s="99"/>
      <c r="D96" s="99"/>
      <c r="E96" s="99"/>
      <c r="F96" s="99"/>
      <c r="G96" s="99"/>
      <c r="H96" s="99"/>
      <c r="I96" s="99"/>
      <c r="J96" s="99"/>
      <c r="K96" s="99"/>
      <c r="L96" s="99"/>
      <c r="AA96" s="6"/>
      <c r="AB96" s="6"/>
    </row>
    <row r="97" ht="30" customHeight="1" spans="2:28" x14ac:dyDescent="0.25">
      <c r="B97" s="109" t="s">
        <v>95</v>
      </c>
      <c r="C97" s="110"/>
      <c r="D97" s="110"/>
      <c r="E97" s="111" t="s">
        <v>96</v>
      </c>
      <c r="F97" s="111" t="s">
        <v>97</v>
      </c>
      <c r="G97" s="110"/>
      <c r="H97" s="111" t="s">
        <v>91</v>
      </c>
      <c r="I97" s="111" t="s">
        <v>98</v>
      </c>
      <c r="J97" s="110"/>
      <c r="K97" s="111" t="s">
        <v>99</v>
      </c>
      <c r="L97" s="112" t="s">
        <v>53</v>
      </c>
      <c r="AA97" s="6"/>
      <c r="AB97" s="6"/>
    </row>
    <row r="98" ht="24" customHeight="1" spans="2:28" x14ac:dyDescent="0.25">
      <c r="B98" s="113" t="str">
        <f>IF(Payments!J21="","",Payments!J21)</f>
        <v>Allah Walay Traders</v>
      </c>
      <c r="C98" s="97"/>
      <c r="D98" s="97"/>
      <c r="E98" s="114">
        <f>IF($B98="","",Payments!K21)</f>
        <v>9287189</v>
      </c>
      <c r="F98" s="149">
        <f>IF($B98="","",Payments!L21)</f>
        <v>0</v>
      </c>
      <c r="G98" s="150"/>
      <c r="H98" s="151">
        <f>IF($B98="","",Payments!M21)</f>
        <v>9287189</v>
      </c>
      <c r="I98" s="152">
        <f>IF($B98="","",IF(_xlfn.MAXIFS(tblPayments[Date],tblPayments[Party (Name)],$B98)=0,"",_xlfn.MAXIFS(tblPayments[Date],tblPayments[Party (Name)],$B98)))</f>
      </c>
      <c r="J98" s="115"/>
      <c r="K98" s="153">
        <f>IF(OR($B98="",$E98=0),"",$F98/$E98)</f>
        <v>0</v>
      </c>
      <c r="L98" s="97">
        <f>IFERROR(K98,0)</f>
        <v>0</v>
      </c>
      <c r="AA98" s="6"/>
      <c r="AB98" s="6"/>
    </row>
    <row r="99" ht="19.95" customHeight="1" spans="2:28" x14ac:dyDescent="0.25">
      <c r="B99" s="119" t="str">
        <f>IF(Payments!J22="","",Payments!J22)</f>
        <v>Ashfaq Commission shop</v>
      </c>
      <c r="C99" s="120"/>
      <c r="D99" s="120"/>
      <c r="E99" s="121">
        <f>IF($B99="","",Payments!K22)</f>
        <v>5062500</v>
      </c>
      <c r="F99" s="154">
        <f>IF($B99="","",Payments!L22)</f>
        <v>0</v>
      </c>
      <c r="G99" s="155"/>
      <c r="H99" s="156">
        <f>IF($B99="","",Payments!M22)</f>
        <v>5062500</v>
      </c>
      <c r="I99" s="157">
        <f>IF($B99="","",IF(_xlfn.MAXIFS(tblPayments[Date],tblPayments[Party (Name)],$B99)=0,"",_xlfn.MAXIFS(tblPayments[Date],tblPayments[Party (Name)],$B99)))</f>
      </c>
      <c r="J99" s="122"/>
      <c r="K99" s="158">
        <f t="shared" ref="K99:K109" si="6">IF(OR($B99="",$E99=0),"",$F99/$E99)</f>
        <v>0</v>
      </c>
      <c r="L99" s="120">
        <f t="shared" ref="L99:L109" si="7">IFERROR(K99,0)</f>
        <v>0</v>
      </c>
      <c r="AA99" s="6"/>
      <c r="AB99" s="6"/>
    </row>
    <row r="100" ht="19.95" customHeight="1" spans="2:28" x14ac:dyDescent="0.25">
      <c r="B100" s="119" t="str">
        <f>IF(Payments!J23="","",Payments!J23)</f>
        <v>Bhayya Traders</v>
      </c>
      <c r="C100" s="120"/>
      <c r="D100" s="120"/>
      <c r="E100" s="121">
        <f>IF($B100="","",Payments!K23)</f>
        <v>4556250</v>
      </c>
      <c r="F100" s="154">
        <f>IF($B100="","",Payments!L23)</f>
        <v>0</v>
      </c>
      <c r="G100" s="155"/>
      <c r="H100" s="156">
        <f>IF($B100="","",Payments!M23)</f>
        <v>4556250</v>
      </c>
      <c r="I100" s="157">
        <f>IF($B100="","",IF(_xlfn.MAXIFS(tblPayments[Date],tblPayments[Party (Name)],$B100)=0,"",_xlfn.MAXIFS(tblPayments[Date],tblPayments[Party (Name)],$B100)))</f>
      </c>
      <c r="J100" s="122"/>
      <c r="K100" s="158">
        <f t="shared" si="6"/>
        <v>0</v>
      </c>
      <c r="L100" s="120">
        <f t="shared" si="7"/>
        <v>0</v>
      </c>
      <c r="AA100" s="6"/>
      <c r="AB100" s="6"/>
    </row>
    <row r="101" ht="19.95" customHeight="1" spans="2:28" x14ac:dyDescent="0.25">
      <c r="B101" s="119" t="str">
        <f>IF(Payments!J24="","",Payments!J24)</f>
        <v>Hamdard Traders</v>
      </c>
      <c r="C101" s="120"/>
      <c r="D101" s="120"/>
      <c r="E101" s="121">
        <f>IF($B101="","",Payments!K24)</f>
        <v>6053807</v>
      </c>
      <c r="F101" s="154">
        <f>IF($B101="","",Payments!L24)</f>
        <v>0</v>
      </c>
      <c r="G101" s="155"/>
      <c r="H101" s="156">
        <f>IF($B101="","",Payments!M24)</f>
        <v>6053807</v>
      </c>
      <c r="I101" s="157">
        <f>IF($B101="","",IF(_xlfn.MAXIFS(tblPayments[Date],tblPayments[Party (Name)],$B101)=0,"",_xlfn.MAXIFS(tblPayments[Date],tblPayments[Party (Name)],$B101)))</f>
      </c>
      <c r="J101" s="122"/>
      <c r="K101" s="158">
        <f t="shared" si="6"/>
        <v>0</v>
      </c>
      <c r="L101" s="120">
        <f t="shared" si="7"/>
        <v>0</v>
      </c>
      <c r="AA101" s="6"/>
      <c r="AB101" s="6"/>
    </row>
    <row r="102" ht="19.95" customHeight="1" spans="2:28" x14ac:dyDescent="0.25">
      <c r="B102" s="119" t="str">
        <f>IF(Payments!J25="","",Payments!J25)</f>
        <v>Hassan Enterprises</v>
      </c>
      <c r="C102" s="120"/>
      <c r="D102" s="120"/>
      <c r="E102" s="121">
        <f>IF($B102="","",Payments!K25)</f>
        <v>12054139</v>
      </c>
      <c r="F102" s="154">
        <f>IF($B102="","",Payments!L25)</f>
        <v>0</v>
      </c>
      <c r="G102" s="155"/>
      <c r="H102" s="156">
        <f>IF($B102="","",Payments!M25)</f>
        <v>12054139</v>
      </c>
      <c r="I102" s="157">
        <f>IF($B102="","",IF(_xlfn.MAXIFS(tblPayments[Date],tblPayments[Party (Name)],$B102)=0,"",_xlfn.MAXIFS(tblPayments[Date],tblPayments[Party (Name)],$B102)))</f>
      </c>
      <c r="J102" s="122"/>
      <c r="K102" s="158">
        <f t="shared" si="6"/>
        <v>0</v>
      </c>
      <c r="L102" s="120">
        <f t="shared" si="7"/>
        <v>0</v>
      </c>
      <c r="AA102" s="6"/>
      <c r="AB102" s="6"/>
    </row>
    <row r="103" ht="19.95" customHeight="1" spans="2:28" x14ac:dyDescent="0.25">
      <c r="B103" s="119" t="str">
        <f>IF(Payments!J26="","",Payments!J26)</f>
        <v>Imran Traders</v>
      </c>
      <c r="C103" s="120"/>
      <c r="D103" s="120"/>
      <c r="E103" s="121">
        <f>IF($B103="","",Payments!K26)</f>
        <v>3237500</v>
      </c>
      <c r="F103" s="154">
        <f>IF($B103="","",Payments!L26)</f>
        <v>0</v>
      </c>
      <c r="G103" s="155"/>
      <c r="H103" s="156">
        <f>IF($B103="","",Payments!M26)</f>
        <v>3237500</v>
      </c>
      <c r="I103" s="157">
        <f>IF($B103="","",IF(_xlfn.MAXIFS(tblPayments[Date],tblPayments[Party (Name)],$B103)=0,"",_xlfn.MAXIFS(tblPayments[Date],tblPayments[Party (Name)],$B103)))</f>
      </c>
      <c r="J103" s="122"/>
      <c r="K103" s="158">
        <f t="shared" si="6"/>
        <v>0</v>
      </c>
      <c r="L103" s="120">
        <f t="shared" si="7"/>
        <v>0</v>
      </c>
      <c r="AA103" s="6"/>
      <c r="AB103" s="6"/>
    </row>
    <row r="104" ht="19.95" customHeight="1" spans="2:28" x14ac:dyDescent="0.25">
      <c r="B104" s="119" t="str">
        <f>IF(Payments!J27="","",Payments!J27)</f>
        <v>Pak Rice Traders</v>
      </c>
      <c r="C104" s="120"/>
      <c r="D104" s="120"/>
      <c r="E104" s="121">
        <f>IF($B104="","",Payments!K27)</f>
        <v>122823474</v>
      </c>
      <c r="F104" s="154">
        <f>IF($B104="","",Payments!L27)</f>
        <v>0</v>
      </c>
      <c r="G104" s="155"/>
      <c r="H104" s="156">
        <f>IF($B104="","",Payments!M27)</f>
        <v>122823474</v>
      </c>
      <c r="I104" s="157">
        <f>IF($B104="","",IF(_xlfn.MAXIFS(tblPayments[Date],tblPayments[Party (Name)],$B104)=0,"",_xlfn.MAXIFS(tblPayments[Date],tblPayments[Party (Name)],$B104)))</f>
      </c>
      <c r="J104" s="122"/>
      <c r="K104" s="158">
        <f t="shared" si="6"/>
        <v>0</v>
      </c>
      <c r="L104" s="120">
        <f t="shared" si="7"/>
        <v>0</v>
      </c>
      <c r="AA104" s="6"/>
      <c r="AB104" s="6"/>
    </row>
    <row r="105" ht="16.8" customHeight="1" spans="2:28" x14ac:dyDescent="0.25">
      <c r="B105" s="119" t="str">
        <f>IF(Payments!J28="","",Payments!J28)</f>
        <v>Pakistan Traders</v>
      </c>
      <c r="C105" s="120"/>
      <c r="D105" s="120"/>
      <c r="E105" s="121">
        <f>IF($B105="","",Payments!K28)</f>
        <v>2545313</v>
      </c>
      <c r="F105" s="154">
        <f>IF($B105="","",Payments!L28)</f>
        <v>0</v>
      </c>
      <c r="G105" s="155"/>
      <c r="H105" s="156">
        <f>IF($B105="","",Payments!M28)</f>
        <v>2545313</v>
      </c>
      <c r="I105" s="157">
        <f>IF($B105="","",IF(_xlfn.MAXIFS(tblPayments[Date],tblPayments[Party (Name)],$B105)=0,"",_xlfn.MAXIFS(tblPayments[Date],tblPayments[Party (Name)],$B105)))</f>
      </c>
      <c r="J105" s="122"/>
      <c r="K105" s="158">
        <f t="shared" si="6"/>
        <v>0</v>
      </c>
      <c r="L105" s="120">
        <f t="shared" si="7"/>
        <v>0</v>
      </c>
      <c r="AA105" s="6"/>
      <c r="AB105" s="6"/>
    </row>
    <row r="106" ht="16.8" customHeight="1" spans="2:28" x14ac:dyDescent="0.25">
      <c r="B106" s="119" t="str">
        <f>IF(Payments!J29="","",Payments!J29)</f>
        <v>Shalimar Traders</v>
      </c>
      <c r="C106" s="120"/>
      <c r="D106" s="120"/>
      <c r="E106" s="121">
        <f>IF($B106="","",Payments!K29)</f>
        <v>20111694</v>
      </c>
      <c r="F106" s="154">
        <f>IF($B106="","",Payments!L29)</f>
        <v>0</v>
      </c>
      <c r="G106" s="155"/>
      <c r="H106" s="156">
        <f>IF($B106="","",Payments!M29)</f>
        <v>20111694</v>
      </c>
      <c r="I106" s="157">
        <f>IF($B106="","",IF(_xlfn.MAXIFS(tblPayments[Date],tblPayments[Party (Name)],$B106)=0,"",_xlfn.MAXIFS(tblPayments[Date],tblPayments[Party (Name)],$B106)))</f>
      </c>
      <c r="J106" s="122"/>
      <c r="K106" s="158">
        <f t="shared" si="6"/>
        <v>0</v>
      </c>
      <c r="L106" s="120">
        <f t="shared" si="7"/>
        <v>0</v>
      </c>
      <c r="AA106" s="6"/>
      <c r="AB106" s="6"/>
    </row>
    <row r="107" ht="16.8" customHeight="1" spans="2:28" x14ac:dyDescent="0.25">
      <c r="B107" s="119" t="str">
        <f>IF(Payments!J30="","",Payments!J30)</f>
        <v>Sheikh Traders</v>
      </c>
      <c r="C107" s="120"/>
      <c r="D107" s="120"/>
      <c r="E107" s="121">
        <f>IF($B107="","",Payments!K30)</f>
        <v>4249063</v>
      </c>
      <c r="F107" s="154">
        <f>IF($B107="","",Payments!L30)</f>
        <v>0</v>
      </c>
      <c r="G107" s="155"/>
      <c r="H107" s="156">
        <f>IF($B107="","",Payments!M30)</f>
        <v>4249063</v>
      </c>
      <c r="I107" s="157">
        <f>IF($B107="","",IF(_xlfn.MAXIFS(tblPayments[Date],tblPayments[Party (Name)],$B107)=0,"",_xlfn.MAXIFS(tblPayments[Date],tblPayments[Party (Name)],$B107)))</f>
      </c>
      <c r="J107" s="122"/>
      <c r="K107" s="158">
        <f t="shared" si="6"/>
        <v>0</v>
      </c>
      <c r="L107" s="120">
        <f t="shared" si="7"/>
        <v>0</v>
      </c>
      <c r="AA107" s="6"/>
      <c r="AB107" s="6"/>
    </row>
    <row r="108" ht="16.8" customHeight="1" spans="2:28" x14ac:dyDescent="0.25">
      <c r="B108" s="119" t="str">
        <f>IF(Payments!J31="","",Payments!J31)</f>
        <v>Tayyab Traders</v>
      </c>
      <c r="C108" s="120"/>
      <c r="D108" s="120"/>
      <c r="E108" s="121">
        <f>IF($B108="","",Payments!K31)</f>
        <v>3476505</v>
      </c>
      <c r="F108" s="154">
        <f>IF($B108="","",Payments!L31)</f>
        <v>0</v>
      </c>
      <c r="G108" s="155"/>
      <c r="H108" s="156">
        <f>IF($B108="","",Payments!M31)</f>
        <v>3476505</v>
      </c>
      <c r="I108" s="157">
        <f>IF($B108="","",IF(_xlfn.MAXIFS(tblPayments[Date],tblPayments[Party (Name)],$B108)=0,"",_xlfn.MAXIFS(tblPayments[Date],tblPayments[Party (Name)],$B108)))</f>
      </c>
      <c r="J108" s="122"/>
      <c r="K108" s="158">
        <f t="shared" si="6"/>
        <v>0</v>
      </c>
      <c r="L108" s="120">
        <f t="shared" si="7"/>
        <v>0</v>
      </c>
      <c r="AA108" s="6"/>
      <c r="AB108" s="6"/>
    </row>
    <row r="109" ht="16.8" customHeight="1" spans="2:28" x14ac:dyDescent="0.25">
      <c r="B109" s="127">
        <f>IF(Payments!J32="","",Payments!J32)</f>
      </c>
      <c r="C109" s="128"/>
      <c r="D109" s="128"/>
      <c r="E109" s="129">
        <f>IF($B109="","",Payments!K32)</f>
      </c>
      <c r="F109" s="159">
        <f>IF($B109="","",Payments!L32)</f>
      </c>
      <c r="G109" s="160"/>
      <c r="H109" s="161">
        <f>IF($B109="","",Payments!M32)</f>
      </c>
      <c r="I109" s="162">
        <f>IF($B109="","",IF(_xlfn.MAXIFS(tblPayments[Date],tblPayments[Party (Name)],$B109)=0,"",_xlfn.MAXIFS(tblPayments[Date],tblPayments[Party (Name)],$B109)))</f>
      </c>
      <c r="J109" s="130"/>
      <c r="K109" s="163">
        <f t="shared" si="6"/>
      </c>
      <c r="L109" s="128">
        <f t="shared" si="7"/>
      </c>
      <c r="AA109" s="6"/>
      <c r="AB109" s="6"/>
    </row>
    <row r="110" ht="15" customHeight="1" spans="27:28" x14ac:dyDescent="0.25">
      <c r="AA110" s="6"/>
      <c r="AB110" s="6"/>
    </row>
    <row r="111" ht="15" customHeight="1" spans="27:28" x14ac:dyDescent="0.25">
      <c r="AA111" s="6"/>
      <c r="AB111" s="6"/>
    </row>
    <row r="112" ht="15" customHeight="1" spans="27:28" x14ac:dyDescent="0.25">
      <c r="AA112" s="6"/>
      <c r="AB112" s="6"/>
    </row>
    <row r="113" ht="15" customHeight="1" spans="27:28" x14ac:dyDescent="0.25">
      <c r="AA113" s="6"/>
      <c r="AB113" s="6"/>
    </row>
    <row r="114" ht="15" customHeight="1" spans="27:28" x14ac:dyDescent="0.25">
      <c r="AA114" s="6"/>
      <c r="AB114" s="6"/>
    </row>
    <row r="115" ht="15" customHeight="1" spans="27:28" x14ac:dyDescent="0.25">
      <c r="AA115" s="6"/>
      <c r="AB115" s="6"/>
    </row>
    <row r="116" ht="15" customHeight="1" spans="27:28" x14ac:dyDescent="0.25">
      <c r="AA116" s="6"/>
      <c r="AB116" s="6"/>
    </row>
    <row r="117" ht="15" customHeight="1" spans="27:28" x14ac:dyDescent="0.25">
      <c r="AA117" s="6"/>
      <c r="AB117" s="6"/>
    </row>
    <row r="118" ht="15" customHeight="1" spans="27:28" x14ac:dyDescent="0.25">
      <c r="AA118" s="6"/>
      <c r="AB118" s="6"/>
    </row>
    <row r="119" ht="15" customHeight="1" spans="27:28" x14ac:dyDescent="0.25">
      <c r="AA119" s="6"/>
      <c r="AB119" s="6"/>
    </row>
    <row r="120" ht="15" customHeight="1" spans="27:28" x14ac:dyDescent="0.25">
      <c r="AA120" s="6"/>
      <c r="AB120" s="6"/>
    </row>
    <row r="121" ht="15" customHeight="1" spans="27:28" x14ac:dyDescent="0.25">
      <c r="AA121" s="6"/>
      <c r="AB121" s="6"/>
    </row>
    <row r="122" ht="15" customHeight="1" spans="27:28" x14ac:dyDescent="0.25">
      <c r="AA122" s="6"/>
      <c r="AB122" s="6"/>
    </row>
    <row r="123" ht="15" customHeight="1" spans="27:28" x14ac:dyDescent="0.25">
      <c r="AA123" s="6"/>
      <c r="AB123" s="6"/>
    </row>
    <row r="124" ht="15" customHeight="1" spans="27:28" x14ac:dyDescent="0.25">
      <c r="AA124" s="6"/>
      <c r="AB124" s="6"/>
    </row>
    <row r="125" ht="15" customHeight="1" spans="27:28" x14ac:dyDescent="0.25">
      <c r="AA125" s="6"/>
      <c r="AB125" s="6"/>
    </row>
    <row r="126" ht="15" customHeight="1" spans="27:28" x14ac:dyDescent="0.25">
      <c r="AA126" s="6"/>
      <c r="AB126" s="6"/>
    </row>
    <row r="127" ht="15" customHeight="1" spans="27:28" x14ac:dyDescent="0.25">
      <c r="AA127" s="6"/>
      <c r="AB127" s="6"/>
    </row>
    <row r="128" ht="15" customHeight="1" spans="27:28" x14ac:dyDescent="0.25">
      <c r="AA128" s="6"/>
      <c r="AB128" s="6"/>
    </row>
    <row r="129" ht="15" customHeight="1" spans="27:28" x14ac:dyDescent="0.25">
      <c r="AA129" s="6"/>
      <c r="AB129" s="6"/>
    </row>
    <row r="130" ht="15" customHeight="1" spans="27:28" x14ac:dyDescent="0.25">
      <c r="AA130" s="6"/>
      <c r="AB130" s="6"/>
    </row>
    <row r="131" ht="15" customHeight="1" spans="27:28" x14ac:dyDescent="0.25">
      <c r="AA131" s="6"/>
      <c r="AB131" s="6"/>
    </row>
    <row r="132" ht="15" customHeight="1" spans="27:28" x14ac:dyDescent="0.25">
      <c r="AA132" s="6"/>
      <c r="AB132" s="6"/>
    </row>
    <row r="133" ht="15" customHeight="1" spans="27:28" x14ac:dyDescent="0.25">
      <c r="AA133" s="6"/>
      <c r="AB133" s="6"/>
    </row>
    <row r="134" ht="15" customHeight="1" spans="27:28" x14ac:dyDescent="0.25">
      <c r="AA134" s="6"/>
      <c r="AB134" s="6"/>
    </row>
    <row r="135" ht="15" customHeight="1" spans="27:28" x14ac:dyDescent="0.25">
      <c r="AA135" s="6"/>
      <c r="AB135" s="6"/>
    </row>
    <row r="201" ht="16.8" customHeight="1" spans="1:8" x14ac:dyDescent="0.25">
      <c r="A201" s="164"/>
      <c r="B201" s="164"/>
      <c r="C201" s="164"/>
      <c r="D201" s="164"/>
      <c r="E201" s="164"/>
      <c r="F201" s="164"/>
      <c r="G201" s="164"/>
      <c r="H201" s="164"/>
    </row>
    <row r="202" ht="16.8" customHeight="1" spans="1:8" x14ac:dyDescent="0.25">
      <c r="A202" s="164"/>
      <c r="B202" s="164"/>
      <c r="C202" s="164"/>
      <c r="D202" s="164"/>
      <c r="E202" s="164"/>
      <c r="F202" s="164"/>
      <c r="G202" s="164"/>
      <c r="H202" s="164"/>
    </row>
    <row r="203" ht="16.8" customHeight="1" spans="1:8" x14ac:dyDescent="0.25">
      <c r="A203" s="164"/>
      <c r="B203" s="164"/>
      <c r="C203" s="164"/>
      <c r="D203" s="164"/>
      <c r="E203" s="164"/>
      <c r="F203" s="164"/>
      <c r="G203" s="164"/>
      <c r="H203" s="164"/>
    </row>
    <row r="204" ht="16.8" customHeight="1" spans="1:8" x14ac:dyDescent="0.25">
      <c r="A204" s="164"/>
      <c r="B204" s="164"/>
      <c r="C204" s="164"/>
      <c r="D204" s="164"/>
      <c r="E204" s="164"/>
      <c r="F204" s="164"/>
      <c r="G204" s="164"/>
      <c r="H204" s="164"/>
    </row>
    <row r="205" ht="16.8" customHeight="1" spans="1:8" x14ac:dyDescent="0.25">
      <c r="A205" s="164"/>
      <c r="B205" s="164"/>
      <c r="C205" s="164"/>
      <c r="D205" s="164"/>
      <c r="E205" s="164"/>
      <c r="F205" s="164"/>
      <c r="G205" s="164"/>
      <c r="H205" s="164"/>
    </row>
    <row r="206" ht="16.8" customHeight="1" spans="1:8" x14ac:dyDescent="0.25">
      <c r="A206" s="164"/>
      <c r="B206" s="164"/>
      <c r="C206" s="164"/>
      <c r="D206" s="164"/>
      <c r="E206" s="164"/>
      <c r="F206" s="164"/>
      <c r="G206" s="164"/>
      <c r="H206" s="164"/>
    </row>
    <row r="207" ht="16.8" customHeight="1" spans="1:8" x14ac:dyDescent="0.25">
      <c r="A207" s="164"/>
      <c r="B207" s="164"/>
      <c r="C207" s="164"/>
      <c r="D207" s="164"/>
      <c r="E207" s="164"/>
      <c r="F207" s="164"/>
      <c r="G207" s="164"/>
      <c r="H207" s="164"/>
    </row>
    <row r="208" ht="16.8" customHeight="1" spans="1:8" x14ac:dyDescent="0.25">
      <c r="A208" s="164"/>
      <c r="B208" s="164"/>
      <c r="C208" s="164"/>
      <c r="D208" s="164"/>
      <c r="E208" s="164"/>
      <c r="F208" s="164"/>
      <c r="G208" s="164"/>
      <c r="H208" s="164"/>
    </row>
    <row r="209" ht="16.8" customHeight="1" spans="1:8" x14ac:dyDescent="0.25">
      <c r="A209" s="164"/>
      <c r="B209" s="164"/>
      <c r="C209" s="164"/>
      <c r="D209" s="164"/>
      <c r="E209" s="164"/>
      <c r="F209" s="164"/>
      <c r="G209" s="164"/>
      <c r="H209" s="164"/>
    </row>
    <row r="210" ht="16.8" customHeight="1" spans="1:8" x14ac:dyDescent="0.25">
      <c r="A210" s="164"/>
      <c r="B210" s="164"/>
      <c r="C210" s="164"/>
      <c r="D210" s="164"/>
      <c r="E210" s="164"/>
      <c r="F210" s="164"/>
      <c r="G210" s="164"/>
      <c r="H210" s="164"/>
    </row>
    <row r="211" ht="16.8" customHeight="1" spans="1:8" x14ac:dyDescent="0.25">
      <c r="A211" s="164"/>
      <c r="B211" s="164"/>
      <c r="C211" s="164"/>
      <c r="D211" s="164"/>
      <c r="E211" s="164"/>
      <c r="F211" s="164"/>
      <c r="G211" s="164"/>
      <c r="H211" s="164"/>
    </row>
    <row r="212" ht="16.8" customHeight="1" spans="1:8" x14ac:dyDescent="0.25">
      <c r="A212" s="164"/>
      <c r="B212" s="164"/>
      <c r="C212" s="164"/>
      <c r="D212" s="164"/>
      <c r="E212" s="164"/>
      <c r="F212" s="164"/>
      <c r="G212" s="164"/>
      <c r="H212" s="164"/>
    </row>
    <row r="213" ht="16.8" customHeight="1" spans="1:8" x14ac:dyDescent="0.25">
      <c r="A213" s="164"/>
      <c r="B213" s="164"/>
      <c r="C213" s="164"/>
      <c r="D213" s="164"/>
      <c r="E213" s="164"/>
      <c r="F213" s="164"/>
      <c r="G213" s="164"/>
      <c r="H213" s="164"/>
    </row>
    <row r="214" ht="16.8" customHeight="1" spans="1:8" x14ac:dyDescent="0.25">
      <c r="A214" s="164"/>
      <c r="B214" s="164"/>
      <c r="C214" s="164"/>
      <c r="D214" s="164"/>
      <c r="E214" s="164"/>
      <c r="F214" s="164"/>
      <c r="G214" s="164"/>
      <c r="H214" s="164"/>
    </row>
    <row r="215" ht="16.8" customHeight="1" spans="1:8" x14ac:dyDescent="0.25">
      <c r="A215" s="164"/>
      <c r="B215" s="164"/>
      <c r="C215" s="164"/>
      <c r="D215" s="164"/>
      <c r="E215" s="164"/>
      <c r="F215" s="164"/>
      <c r="G215" s="164"/>
      <c r="H215" s="164"/>
    </row>
    <row r="216" ht="16.8" customHeight="1" spans="1:8" x14ac:dyDescent="0.25">
      <c r="A216" s="164"/>
      <c r="B216" s="164"/>
      <c r="C216" s="164"/>
      <c r="D216" s="164"/>
      <c r="E216" s="164"/>
      <c r="F216" s="164"/>
      <c r="G216" s="164"/>
      <c r="H216" s="164"/>
    </row>
    <row r="217" ht="16.8" customHeight="1" spans="1:8" x14ac:dyDescent="0.25">
      <c r="A217" s="164"/>
      <c r="B217" s="164"/>
      <c r="C217" s="164"/>
      <c r="D217" s="164"/>
      <c r="E217" s="164"/>
      <c r="F217" s="164"/>
      <c r="G217" s="164"/>
      <c r="H217" s="164"/>
    </row>
    <row r="218" ht="16.8" customHeight="1" spans="1:8" x14ac:dyDescent="0.25">
      <c r="A218" s="164"/>
      <c r="B218" s="164"/>
      <c r="C218" s="164"/>
      <c r="D218" s="164"/>
      <c r="E218" s="164"/>
      <c r="F218" s="164"/>
      <c r="G218" s="164"/>
      <c r="H218" s="164"/>
    </row>
    <row r="219" ht="16.8" customHeight="1" spans="1:8" x14ac:dyDescent="0.25">
      <c r="A219" s="164"/>
      <c r="B219" s="164"/>
      <c r="C219" s="164"/>
      <c r="D219" s="164"/>
      <c r="E219" s="164"/>
      <c r="F219" s="164"/>
      <c r="G219" s="164"/>
      <c r="H219" s="164"/>
    </row>
  </sheetData>
  <mergeCells count="9">
    <mergeCell ref="L2:M2"/>
    <mergeCell ref="B7:C7"/>
    <mergeCell ref="E7:F7"/>
    <mergeCell ref="H7:I7"/>
    <mergeCell ref="K7:L7"/>
    <mergeCell ref="B93:C93"/>
    <mergeCell ref="E93:F93"/>
    <mergeCell ref="H93:I93"/>
    <mergeCell ref="K93:L93"/>
  </mergeCells>
  <conditionalFormatting sqref="L14">
    <cfRule type="dataBar" priority="2">
      <dataBar>
        <cfvo type="num" val="0"/>
        <cfvo type="num" val="1"/>
        <color rgb="FF3B82F6"/>
      </dataBar>
      <extLst>
        <ext xmlns:x14="http://schemas.microsoft.com/office/spreadsheetml/2009/9/main" uri="{B025F937-C7B1-47D3-B67F-A62EFF666E3E}">
          <x14:id>{3F373C1B-1938-4607-95DA-B96B5880B18E}</x14:id>
        </ext>
      </extLst>
    </cfRule>
  </conditionalFormatting>
  <conditionalFormatting sqref="L22:L24">
    <cfRule type="dataBar" priority="3">
      <dataBar>
        <cfvo type="num" val="0"/>
        <cfvo type="num" val="1"/>
        <color rgb="FF3B82F6"/>
      </dataBar>
      <extLst>
        <ext xmlns:x14="http://schemas.microsoft.com/office/spreadsheetml/2009/9/main" uri="{B025F937-C7B1-47D3-B67F-A62EFF666E3E}">
          <x14:id>{10A3CB88-B468-4278-A4ED-E45B8BE990A9}</x14:id>
        </ext>
      </extLst>
    </cfRule>
  </conditionalFormatting>
  <conditionalFormatting sqref="L31:L42">
    <cfRule type="dataBar" priority="4">
      <dataBar>
        <cfvo type="num" val="0"/>
        <cfvo type="num" val="1"/>
        <color rgb="FF3B82F6"/>
      </dataBar>
      <extLst>
        <ext xmlns:x14="http://schemas.microsoft.com/office/spreadsheetml/2009/9/main" uri="{B025F937-C7B1-47D3-B67F-A62EFF666E3E}">
          <x14:id>{D0F05F58-2DF9-4C1C-AD92-65260F145EAD}</x14:id>
        </ext>
      </extLst>
    </cfRule>
  </conditionalFormatting>
  <conditionalFormatting sqref="L48:L87">
    <cfRule type="dataBar" priority="5">
      <dataBar>
        <cfvo type="num" val="0"/>
        <cfvo type="max"/>
        <color rgb="FF3B82F6"/>
      </dataBar>
      <extLst>
        <ext xmlns:x14="http://schemas.microsoft.com/office/spreadsheetml/2009/9/main" uri="{B025F937-C7B1-47D3-B67F-A62EFF666E3E}">
          <x14:id>{2AC7084D-8EA9-4695-B374-9E93CD971C11}</x14:id>
        </ext>
      </extLst>
    </cfRule>
  </conditionalFormatting>
  <conditionalFormatting sqref="L98:L109">
    <cfRule type="dataBar" priority="1">
      <dataBar>
        <cfvo type="num" val="0"/>
        <cfvo type="num" val="1"/>
        <color rgb="FF3B82F6"/>
      </dataBar>
      <extLst>
        <ext xmlns:x14="http://schemas.microsoft.com/office/spreadsheetml/2009/9/main" uri="{B025F937-C7B1-47D3-B67F-A62EFF666E3E}">
          <x14:id>{BDA9F9BA-6D6C-4A2D-BF99-322CC7299DDB}</x14:id>
        </ext>
      </extLst>
    </cfRule>
    <cfRule type="dataBar" priority="6">
      <dataBar>
        <cfvo type="min"/>
        <cfvo type="max"/>
        <color rgb="FF2F7BF6"/>
      </dataBar>
      <extLst>
        <ext xmlns:x14="http://schemas.microsoft.com/office/spreadsheetml/2009/9/main" uri="{B025F937-C7B1-47D3-B67F-A62EFF666E3E}">
          <x14:id>{6C8E289B-6EB6-485E-8A86-DE40F96C859D}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373C1B-1938-4607-95DA-B96B5880B18E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L14</xm:sqref>
        </x14:conditionalFormatting>
        <x14:conditionalFormatting xmlns:xm="http://schemas.microsoft.com/office/excel/2006/main">
          <x14:cfRule type="dataBar" id="{10A3CB88-B468-4278-A4ED-E45B8BE990A9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L22:L24</xm:sqref>
        </x14:conditionalFormatting>
        <x14:conditionalFormatting xmlns:xm="http://schemas.microsoft.com/office/excel/2006/main">
          <x14:cfRule type="dataBar" id="{D0F05F58-2DF9-4C1C-AD92-65260F145EAD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L31:L42</xm:sqref>
        </x14:conditionalFormatting>
        <x14:conditionalFormatting xmlns:xm="http://schemas.microsoft.com/office/excel/2006/main">
          <x14:cfRule type="dataBar" id="{2AC7084D-8EA9-4695-B374-9E93CD971C11}">
            <x14:dataBar minLength="0" maxLength="100" gradient="0" axisPosition="none">
              <x14:cfvo type="num">
                <xm:f>0</xm:f>
              </x14:cfvo>
              <x14:cfvo type="max"/>
            </x14:dataBar>
          </x14:cfRule>
          <xm:sqref>L48:L87</xm:sqref>
        </x14:conditionalFormatting>
        <x14:conditionalFormatting xmlns:xm="http://schemas.microsoft.com/office/excel/2006/main">
          <x14:cfRule type="dataBar" id="{BDA9F9BA-6D6C-4A2D-BF99-322CC7299DDB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</x14:dataBar>
          </x14:cfRule>
          <x14:cfRule type="dataBar" id="{6C8E289B-6EB6-485E-8A86-DE40F96C859D}">
            <x14:dataBar minLength="0" maxLength="100" gradient="0" axisPosition="none">
              <x14:cfvo type="min"/>
              <x14:cfvo type="max"/>
            </x14:dataBar>
          </x14:cfRule>
          <xm:sqref>L98:L109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8F98"/>
  </sheetPr>
  <dimension ref="A1:I125"/>
  <sheetViews>
    <sheetView workbookViewId="0" showGridLines="0" zoomScale="100" zoomScaleNormal="100">
      <pane ySplit="1" topLeftCell="A2" activePane="bottomLeft" state="frozen"/>
      <selection pane="bottomLeft" activeCell="C114" sqref="C114"/>
    </sheetView>
  </sheetViews>
  <sheetFormatPr defaultRowHeight="14.4" outlineLevelRow="0" outlineLevelCol="0" x14ac:dyDescent="0.3" customHeight="1"/>
  <cols>
    <col min="1" max="4" width="31.44140625" customWidth="1"/>
  </cols>
  <sheetData>
    <row r="1" ht="19.95" customHeight="1" spans="1:9" x14ac:dyDescent="0.25">
      <c r="A1" s="263" t="s">
        <v>9</v>
      </c>
      <c r="B1" s="263" t="s">
        <v>12</v>
      </c>
      <c r="C1" s="263" t="s">
        <v>16</v>
      </c>
      <c r="D1" s="263" t="s">
        <v>15</v>
      </c>
      <c r="E1" s="264" t="s">
        <v>160</v>
      </c>
      <c r="F1" s="3"/>
      <c r="G1" s="3"/>
      <c r="H1" s="3"/>
      <c r="I1" s="3"/>
    </row>
    <row r="2" ht="19.95" customHeight="1" spans="1:9" x14ac:dyDescent="0.25">
      <c r="A2" s="265" t="str">
        <f t="array" ref="A2:A12">IFERROR(_xlfn._xlws.SORT(_xlfn.UNIQUE(_xlfn._xlws.FILTER(TRIM(tblLines[Party (Name)]),TRIM(tblLines[Party (Name)])&lt;&gt;""))),"")</f>
        <v>Allah Walay Traders</v>
      </c>
      <c r="B2" s="265" t="str">
        <f t="array" ref="B2:B12">IFERROR(_xlfn._xlws.SORT(_xlfn.UNIQUE(_xlfn._xlws.FILTER(TRIM(tblLines[City]),TRIM(tblLines[City])&lt;&gt;""))),"")</f>
        <v>Attock</v>
      </c>
      <c r="C2" s="265" t="str">
        <f t="array" ref="C2:C3">IFERROR(_xlfn._xlws.SORT(_xlfn.UNIQUE(_xlfn._xlws.FILTER(TRIM(tblLines[ASM / Salesperson]),TRIM(tblLines[ASM / Salesperson])&lt;&gt;""))),"")</f>
        <v>Arslan Ahmed Dar</v>
      </c>
      <c r="D2" s="265" t="str">
        <f t="array" ref="D2:D7">IFERROR(_xlfn._xlws.SORT(_xlfn.UNIQUE(_xlfn._xlws.FILTER(TRIM(tblLines[Sub Party]),TRIM(tblLines[Sub Party])&lt;&gt;""))),"")</f>
        <v>Alam Shah Traders</v>
      </c>
      <c r="E2" s="266" t="s">
        <v>223</v>
      </c>
      <c r="F2" s="3"/>
      <c r="G2" s="3"/>
      <c r="H2" s="3"/>
      <c r="I2" s="3"/>
    </row>
    <row r="3" ht="19.95" customHeight="1" spans="1:9" x14ac:dyDescent="0.25">
      <c r="A3" s="265" t="s">
        <v>167</v>
      </c>
      <c r="B3" s="265" t="s">
        <v>224</v>
      </c>
      <c r="C3" s="265" t="s">
        <v>60</v>
      </c>
      <c r="D3" s="265" t="s">
        <v>225</v>
      </c>
      <c r="E3" s="266" t="s">
        <v>226</v>
      </c>
      <c r="F3" s="3"/>
      <c r="G3" s="3"/>
      <c r="H3" s="3"/>
      <c r="I3" s="3"/>
    </row>
    <row r="4" ht="19.95" customHeight="1" spans="1:9" x14ac:dyDescent="0.25">
      <c r="A4" s="265" t="s">
        <v>168</v>
      </c>
      <c r="B4" s="265" t="s">
        <v>126</v>
      </c>
      <c r="C4" s="265"/>
      <c r="D4" s="265" t="s">
        <v>227</v>
      </c>
      <c r="E4" s="266" t="s">
        <v>228</v>
      </c>
      <c r="F4" s="3"/>
      <c r="G4" s="3"/>
      <c r="H4" s="3"/>
      <c r="I4" s="3"/>
    </row>
    <row r="5" ht="19.95" customHeight="1" spans="1:9" x14ac:dyDescent="0.25">
      <c r="A5" s="265" t="s">
        <v>134</v>
      </c>
      <c r="B5" s="265" t="s">
        <v>118</v>
      </c>
      <c r="C5" s="265"/>
      <c r="D5" s="265" t="s">
        <v>229</v>
      </c>
      <c r="E5" s="266" t="s">
        <v>230</v>
      </c>
      <c r="F5" s="3"/>
      <c r="G5" s="3"/>
      <c r="H5" s="3"/>
      <c r="I5" s="3"/>
    </row>
    <row r="6" ht="19.95" customHeight="1" spans="1:9" x14ac:dyDescent="0.25">
      <c r="A6" s="265" t="s">
        <v>117</v>
      </c>
      <c r="B6" s="265" t="s">
        <v>135</v>
      </c>
      <c r="C6" s="265"/>
      <c r="D6" s="265" t="s">
        <v>140</v>
      </c>
      <c r="E6" s="266" t="s">
        <v>231</v>
      </c>
      <c r="F6" s="3"/>
      <c r="G6" s="3"/>
      <c r="H6" s="3"/>
      <c r="I6" s="3"/>
    </row>
    <row r="7" ht="19.95" customHeight="1" spans="1:9" x14ac:dyDescent="0.25">
      <c r="A7" s="265" t="s">
        <v>169</v>
      </c>
      <c r="B7" s="265" t="s">
        <v>129</v>
      </c>
      <c r="C7" s="265"/>
      <c r="D7" s="265" t="s">
        <v>138</v>
      </c>
      <c r="E7" s="266" t="s">
        <v>232</v>
      </c>
      <c r="F7" s="3"/>
      <c r="G7" s="3"/>
      <c r="H7" s="3"/>
      <c r="I7" s="3"/>
    </row>
    <row r="8" ht="19.95" customHeight="1" spans="1:9" x14ac:dyDescent="0.25">
      <c r="A8" s="267" t="s">
        <v>139</v>
      </c>
      <c r="B8" s="267" t="s">
        <v>233</v>
      </c>
      <c r="C8" s="267"/>
      <c r="D8" s="267"/>
      <c r="E8" s="266" t="s">
        <v>234</v>
      </c>
      <c r="F8" s="3"/>
      <c r="G8" s="3"/>
      <c r="H8" s="3"/>
      <c r="I8" s="3"/>
    </row>
    <row r="9" ht="19.95" customHeight="1" spans="1:9" x14ac:dyDescent="0.25">
      <c r="A9" s="268" t="s">
        <v>170</v>
      </c>
      <c r="B9" s="268" t="s">
        <v>148</v>
      </c>
      <c r="C9" s="268"/>
      <c r="D9" s="268"/>
      <c r="E9" s="266" t="s">
        <v>235</v>
      </c>
      <c r="F9" s="3"/>
      <c r="G9" s="3"/>
      <c r="H9" s="3"/>
      <c r="I9" s="3"/>
    </row>
    <row r="10" ht="19.95" customHeight="1" spans="1:9" x14ac:dyDescent="0.25">
      <c r="A10" s="268" t="s">
        <v>128</v>
      </c>
      <c r="B10" s="268" t="s">
        <v>124</v>
      </c>
      <c r="C10" s="268"/>
      <c r="D10" s="268"/>
      <c r="E10" s="266" t="s">
        <v>236</v>
      </c>
      <c r="F10" s="3"/>
      <c r="G10" s="3"/>
      <c r="H10" s="3"/>
      <c r="I10" s="3"/>
    </row>
    <row r="11" ht="19.95" customHeight="1" spans="1:9" x14ac:dyDescent="0.25">
      <c r="A11" s="268" t="s">
        <v>123</v>
      </c>
      <c r="B11" s="268" t="s">
        <v>131</v>
      </c>
      <c r="C11" s="268"/>
      <c r="D11" s="268"/>
      <c r="E11" s="269" t="s">
        <v>237</v>
      </c>
      <c r="F11" s="268"/>
      <c r="G11" s="268"/>
      <c r="H11" s="268"/>
      <c r="I11" s="268"/>
    </row>
    <row r="12" ht="19.95" customHeight="1" spans="1:9" x14ac:dyDescent="0.25">
      <c r="A12" s="268" t="s">
        <v>171</v>
      </c>
      <c r="B12" s="268" t="s">
        <v>238</v>
      </c>
      <c r="C12" s="268"/>
      <c r="D12" s="268"/>
      <c r="E12" s="269" t="s">
        <v>239</v>
      </c>
      <c r="F12" s="268"/>
      <c r="G12" s="270"/>
      <c r="H12" s="270"/>
      <c r="I12" s="270"/>
    </row>
    <row r="13" ht="19.95" customHeight="1" spans="1:9" x14ac:dyDescent="0.25">
      <c r="A13" s="270"/>
      <c r="B13" s="270"/>
      <c r="C13" s="270"/>
      <c r="D13" s="270"/>
      <c r="E13" s="270"/>
      <c r="F13" s="270"/>
      <c r="G13" s="270"/>
      <c r="H13" s="270"/>
      <c r="I13" s="270"/>
    </row>
    <row r="14" ht="19.95" customHeight="1" spans="1:9" x14ac:dyDescent="0.25">
      <c r="A14" s="270"/>
      <c r="B14" s="270"/>
      <c r="C14" s="270"/>
      <c r="D14" s="270"/>
      <c r="E14" s="270"/>
      <c r="F14" s="270"/>
      <c r="G14" s="270"/>
      <c r="H14" s="270"/>
      <c r="I14" s="270"/>
    </row>
    <row r="15" ht="19.95" customHeight="1" spans="1:9" x14ac:dyDescent="0.25">
      <c r="A15" s="270"/>
      <c r="B15" s="270"/>
      <c r="C15" s="270"/>
      <c r="D15" s="270"/>
      <c r="E15" s="270"/>
      <c r="F15" s="270"/>
      <c r="G15" s="270"/>
      <c r="H15" s="270"/>
      <c r="I15" s="270"/>
    </row>
    <row r="16" ht="19.95" customHeight="1" spans="1:9" x14ac:dyDescent="0.25">
      <c r="A16" s="270"/>
      <c r="B16" s="270"/>
      <c r="C16" s="270"/>
      <c r="D16" s="270"/>
      <c r="E16" s="270"/>
      <c r="F16" s="270"/>
      <c r="G16" s="270"/>
      <c r="H16" s="270"/>
      <c r="I16" s="270"/>
    </row>
    <row r="17" ht="19.95" customHeight="1" spans="1:9" x14ac:dyDescent="0.25">
      <c r="A17" s="270"/>
      <c r="B17" s="270"/>
      <c r="C17" s="270"/>
      <c r="D17" s="270"/>
      <c r="E17" s="270"/>
      <c r="F17" s="270"/>
      <c r="G17" s="270"/>
      <c r="H17" s="270"/>
      <c r="I17" s="270"/>
    </row>
    <row r="18" ht="19.95" customHeight="1" spans="1:9" x14ac:dyDescent="0.25">
      <c r="A18" s="270"/>
      <c r="B18" s="270"/>
      <c r="C18" s="270"/>
      <c r="D18" s="270"/>
      <c r="E18" s="270"/>
      <c r="F18" s="270"/>
      <c r="G18" s="270"/>
      <c r="H18" s="270"/>
      <c r="I18" s="270"/>
    </row>
    <row r="19" ht="19.95" customHeight="1" spans="1:9" x14ac:dyDescent="0.25">
      <c r="A19" s="270"/>
      <c r="B19" s="270"/>
      <c r="C19" s="270"/>
      <c r="D19" s="270"/>
      <c r="E19" s="270"/>
      <c r="F19" s="270"/>
      <c r="G19" s="270"/>
      <c r="H19" s="270"/>
      <c r="I19" s="270"/>
    </row>
    <row r="20" ht="19.95" customHeight="1" spans="1:9" x14ac:dyDescent="0.25">
      <c r="A20" s="270"/>
      <c r="B20" s="270"/>
      <c r="C20" s="270"/>
      <c r="D20" s="270"/>
      <c r="E20" s="270"/>
      <c r="F20" s="270"/>
      <c r="G20" s="270"/>
      <c r="H20" s="270"/>
      <c r="I20" s="270"/>
    </row>
    <row r="21" ht="19.95" customHeight="1" spans="1:9" x14ac:dyDescent="0.25">
      <c r="A21" s="270"/>
      <c r="B21" s="270"/>
      <c r="C21" s="270"/>
      <c r="D21" s="270"/>
      <c r="E21" s="270"/>
      <c r="F21" s="270"/>
      <c r="G21" s="270"/>
      <c r="H21" s="270"/>
      <c r="I21" s="270"/>
    </row>
    <row r="22" ht="19.95" customHeight="1" spans="1:9" x14ac:dyDescent="0.25">
      <c r="A22" s="270"/>
      <c r="B22" s="270"/>
      <c r="C22" s="270"/>
      <c r="D22" s="270"/>
      <c r="E22" s="270"/>
      <c r="F22" s="270"/>
      <c r="G22" s="270"/>
      <c r="H22" s="270"/>
      <c r="I22" s="270"/>
    </row>
    <row r="23" ht="19.95" customHeight="1" spans="1:9" x14ac:dyDescent="0.25">
      <c r="A23" s="270"/>
      <c r="B23" s="270"/>
      <c r="C23" s="270"/>
      <c r="D23" s="270"/>
      <c r="E23" s="270"/>
      <c r="F23" s="270"/>
      <c r="G23" s="270"/>
      <c r="H23" s="270"/>
      <c r="I23" s="270"/>
    </row>
    <row r="24" ht="19.95" customHeight="1" spans="1:9" x14ac:dyDescent="0.25">
      <c r="A24" s="270"/>
      <c r="B24" s="270"/>
      <c r="C24" s="270"/>
      <c r="D24" s="270"/>
      <c r="E24" s="270"/>
      <c r="F24" s="270"/>
      <c r="G24" s="270"/>
      <c r="H24" s="270"/>
      <c r="I24" s="270"/>
    </row>
    <row r="25" ht="19.95" customHeight="1" spans="1:9" x14ac:dyDescent="0.25">
      <c r="A25" s="270"/>
      <c r="B25" s="270"/>
      <c r="C25" s="270"/>
      <c r="D25" s="270"/>
      <c r="E25" s="270"/>
      <c r="F25" s="270"/>
      <c r="G25" s="270"/>
      <c r="H25" s="270"/>
      <c r="I25" s="270"/>
    </row>
    <row r="26" ht="19.95" customHeight="1" spans="1:9" x14ac:dyDescent="0.25">
      <c r="A26" s="270"/>
      <c r="B26" s="270"/>
      <c r="C26" s="270"/>
      <c r="D26" s="270"/>
      <c r="E26" s="270"/>
      <c r="F26" s="270"/>
      <c r="G26" s="270"/>
      <c r="H26" s="270"/>
      <c r="I26" s="270"/>
    </row>
    <row r="27" ht="19.95" customHeight="1" spans="1:9" x14ac:dyDescent="0.25">
      <c r="A27" s="270"/>
      <c r="B27" s="270"/>
      <c r="C27" s="270"/>
      <c r="D27" s="270"/>
      <c r="E27" s="270"/>
      <c r="F27" s="270"/>
      <c r="G27" s="270"/>
      <c r="H27" s="270"/>
      <c r="I27" s="270"/>
    </row>
    <row r="28" ht="19.95" customHeight="1" spans="1:9" x14ac:dyDescent="0.25">
      <c r="A28" s="270"/>
      <c r="B28" s="270"/>
      <c r="C28" s="270"/>
      <c r="D28" s="270"/>
      <c r="E28" s="270"/>
      <c r="F28" s="270"/>
      <c r="G28" s="270"/>
      <c r="H28" s="270"/>
      <c r="I28" s="270"/>
    </row>
    <row r="29" ht="19.95" customHeight="1" spans="1:9" x14ac:dyDescent="0.25">
      <c r="A29" s="270"/>
      <c r="B29" s="270"/>
      <c r="C29" s="270"/>
      <c r="D29" s="270"/>
      <c r="E29" s="270"/>
      <c r="F29" s="270"/>
      <c r="G29" s="270"/>
      <c r="H29" s="270"/>
      <c r="I29" s="270"/>
    </row>
    <row r="30" ht="19.95" customHeight="1" spans="1:9" x14ac:dyDescent="0.25">
      <c r="A30" s="271"/>
      <c r="B30" s="271"/>
      <c r="C30" s="271"/>
      <c r="D30" s="270"/>
      <c r="E30" s="270"/>
      <c r="F30" s="270"/>
      <c r="G30" s="270"/>
      <c r="H30" s="270"/>
      <c r="I30" s="270"/>
    </row>
    <row r="31" ht="15" customHeight="1" spans="1:9" x14ac:dyDescent="0.25">
      <c r="A31" s="272"/>
      <c r="B31" s="272"/>
      <c r="C31" s="272"/>
      <c r="D31" s="270"/>
      <c r="E31" s="270"/>
      <c r="F31" s="270"/>
      <c r="G31" s="270"/>
      <c r="H31" s="270"/>
      <c r="I31" s="270"/>
    </row>
    <row r="32" ht="15" customHeight="1" spans="1:9" x14ac:dyDescent="0.25">
      <c r="A32" s="272"/>
      <c r="B32" s="272"/>
      <c r="C32" s="272"/>
      <c r="D32" s="270"/>
      <c r="E32" s="270"/>
      <c r="F32" s="270"/>
      <c r="G32" s="270"/>
      <c r="H32" s="270"/>
      <c r="I32" s="270"/>
    </row>
    <row r="33" ht="15" customHeight="1" spans="1:9" x14ac:dyDescent="0.25">
      <c r="A33" s="272"/>
      <c r="B33" s="272"/>
      <c r="C33" s="272"/>
      <c r="D33" s="270"/>
      <c r="E33" s="270"/>
      <c r="F33" s="270"/>
      <c r="G33" s="270"/>
      <c r="H33" s="270"/>
      <c r="I33" s="270"/>
    </row>
    <row r="34" ht="15" customHeight="1" spans="1:9" x14ac:dyDescent="0.25">
      <c r="A34" s="272"/>
      <c r="B34" s="272"/>
      <c r="C34" s="272"/>
      <c r="D34" s="270"/>
      <c r="E34" s="270"/>
      <c r="F34" s="270"/>
      <c r="G34" s="270"/>
      <c r="H34" s="270"/>
      <c r="I34" s="270"/>
    </row>
    <row r="35" ht="15" customHeight="1" spans="1:9" x14ac:dyDescent="0.25">
      <c r="A35" s="272"/>
      <c r="B35" s="272"/>
      <c r="C35" s="272"/>
      <c r="D35" s="270"/>
      <c r="E35" s="270"/>
      <c r="F35" s="270"/>
      <c r="G35" s="270"/>
      <c r="H35" s="270"/>
      <c r="I35" s="270"/>
    </row>
    <row r="36" ht="15" customHeight="1" spans="1:9" x14ac:dyDescent="0.25">
      <c r="A36" s="272"/>
      <c r="B36" s="272"/>
      <c r="C36" s="272"/>
      <c r="D36" s="270"/>
      <c r="E36" s="270"/>
      <c r="F36" s="270"/>
      <c r="G36" s="270"/>
      <c r="H36" s="270"/>
      <c r="I36" s="270"/>
    </row>
    <row r="37" ht="15" customHeight="1" spans="1:9" x14ac:dyDescent="0.25">
      <c r="A37" s="272"/>
      <c r="B37" s="272"/>
      <c r="C37" s="272"/>
      <c r="D37" s="270"/>
      <c r="E37" s="270"/>
      <c r="F37" s="270"/>
      <c r="G37" s="270"/>
      <c r="H37" s="270"/>
      <c r="I37" s="270"/>
    </row>
    <row r="38" ht="15" customHeight="1" spans="1:9" x14ac:dyDescent="0.25">
      <c r="A38" s="272"/>
      <c r="B38" s="272"/>
      <c r="C38" s="272"/>
      <c r="D38" s="270"/>
      <c r="E38" s="270"/>
      <c r="F38" s="270"/>
      <c r="G38" s="270"/>
      <c r="H38" s="270"/>
      <c r="I38" s="270"/>
    </row>
    <row r="39" ht="15" customHeight="1" spans="1:9" x14ac:dyDescent="0.25">
      <c r="A39" s="272"/>
      <c r="B39" s="272"/>
      <c r="C39" s="272"/>
      <c r="D39" s="270"/>
      <c r="E39" s="270"/>
      <c r="F39" s="270"/>
      <c r="G39" s="270"/>
      <c r="H39" s="270"/>
      <c r="I39" s="270"/>
    </row>
    <row r="40" ht="15" customHeight="1" spans="1:9" x14ac:dyDescent="0.25">
      <c r="A40" s="272"/>
      <c r="B40" s="272"/>
      <c r="C40" s="272"/>
      <c r="D40" s="270"/>
      <c r="E40" s="270"/>
      <c r="F40" s="270"/>
      <c r="G40" s="270"/>
      <c r="H40" s="270"/>
      <c r="I40" s="270"/>
    </row>
    <row r="41" ht="15" customHeight="1" spans="1:9" x14ac:dyDescent="0.25">
      <c r="A41" s="270"/>
      <c r="B41" s="270"/>
      <c r="C41" s="270"/>
      <c r="D41" s="270"/>
      <c r="E41" s="270"/>
      <c r="F41" s="270"/>
      <c r="G41" s="270"/>
      <c r="H41" s="270"/>
      <c r="I41" s="270"/>
    </row>
    <row r="42" ht="15" customHeight="1" spans="1:9" x14ac:dyDescent="0.25">
      <c r="A42" s="270"/>
      <c r="B42" s="270"/>
      <c r="C42" s="270"/>
      <c r="D42" s="270"/>
      <c r="E42" s="270"/>
      <c r="F42" s="270"/>
      <c r="G42" s="270"/>
      <c r="H42" s="270"/>
      <c r="I42" s="270"/>
    </row>
    <row r="43" ht="15" customHeight="1" spans="1:9" x14ac:dyDescent="0.25">
      <c r="A43" s="270"/>
      <c r="B43" s="270"/>
      <c r="C43" s="270"/>
      <c r="D43" s="270"/>
      <c r="E43" s="270"/>
      <c r="F43" s="270"/>
      <c r="G43" s="270"/>
      <c r="H43" s="270"/>
      <c r="I43" s="270"/>
    </row>
    <row r="44" ht="15" customHeight="1" spans="1:9" x14ac:dyDescent="0.25">
      <c r="A44" s="270"/>
      <c r="B44" s="270"/>
      <c r="C44" s="270"/>
      <c r="D44" s="270"/>
      <c r="E44" s="270"/>
      <c r="F44" s="270"/>
      <c r="G44" s="270"/>
      <c r="H44" s="270"/>
      <c r="I44" s="270"/>
    </row>
    <row r="45" ht="15" customHeight="1" spans="1:9" x14ac:dyDescent="0.25">
      <c r="A45" s="270"/>
      <c r="B45" s="270"/>
      <c r="C45" s="270"/>
      <c r="D45" s="270"/>
      <c r="E45" s="270"/>
      <c r="F45" s="270"/>
      <c r="G45" s="270"/>
      <c r="H45" s="270"/>
      <c r="I45" s="270"/>
    </row>
    <row r="46" ht="15" customHeight="1" spans="1:9" x14ac:dyDescent="0.25">
      <c r="A46" s="270"/>
      <c r="B46" s="270"/>
      <c r="C46" s="270"/>
      <c r="D46" s="270"/>
      <c r="E46" s="270"/>
      <c r="F46" s="270"/>
      <c r="G46" s="270"/>
      <c r="H46" s="270"/>
      <c r="I46" s="270"/>
    </row>
    <row r="47" ht="15" customHeight="1" spans="1:9" x14ac:dyDescent="0.25">
      <c r="A47" s="270"/>
      <c r="B47" s="270"/>
      <c r="C47" s="270"/>
      <c r="D47" s="270"/>
      <c r="E47" s="270"/>
      <c r="F47" s="270"/>
      <c r="G47" s="270"/>
      <c r="H47" s="270"/>
      <c r="I47" s="270"/>
    </row>
    <row r="48" ht="15" customHeight="1" spans="1:9" x14ac:dyDescent="0.25">
      <c r="A48" s="270"/>
      <c r="B48" s="270"/>
      <c r="C48" s="270"/>
      <c r="D48" s="270"/>
      <c r="E48" s="270"/>
      <c r="F48" s="270"/>
      <c r="G48" s="270"/>
      <c r="H48" s="270"/>
      <c r="I48" s="270"/>
    </row>
    <row r="49" ht="15" customHeight="1" spans="1:9" x14ac:dyDescent="0.25">
      <c r="A49" s="270"/>
      <c r="B49" s="270"/>
      <c r="C49" s="270"/>
      <c r="D49" s="270"/>
      <c r="E49" s="270"/>
      <c r="F49" s="270"/>
      <c r="G49" s="270"/>
      <c r="H49" s="270"/>
      <c r="I49" s="270"/>
    </row>
    <row r="50" ht="15" customHeight="1" spans="1:9" x14ac:dyDescent="0.25">
      <c r="A50" s="270"/>
      <c r="B50" s="270"/>
      <c r="C50" s="270"/>
      <c r="D50" s="270"/>
      <c r="E50" s="270"/>
      <c r="F50" s="270"/>
      <c r="G50" s="270"/>
      <c r="H50" s="270"/>
      <c r="I50" s="270"/>
    </row>
    <row r="51" ht="15" customHeight="1" spans="1:9" x14ac:dyDescent="0.25">
      <c r="A51" s="270"/>
      <c r="B51" s="270"/>
      <c r="C51" s="270"/>
      <c r="D51" s="270"/>
      <c r="E51" s="270"/>
      <c r="F51" s="270"/>
      <c r="G51" s="270"/>
      <c r="H51" s="270"/>
      <c r="I51" s="270"/>
    </row>
    <row r="52" ht="15" customHeight="1" spans="1:9" x14ac:dyDescent="0.25">
      <c r="A52" s="270"/>
      <c r="B52" s="270"/>
      <c r="C52" s="270"/>
      <c r="D52" s="270"/>
      <c r="E52" s="270"/>
      <c r="F52" s="270"/>
      <c r="G52" s="270"/>
      <c r="H52" s="270"/>
      <c r="I52" s="270"/>
    </row>
    <row r="53" ht="15" customHeight="1" spans="1:9" x14ac:dyDescent="0.25">
      <c r="A53" s="270"/>
      <c r="B53" s="270"/>
      <c r="C53" s="270"/>
      <c r="D53" s="270"/>
      <c r="E53" s="270"/>
      <c r="F53" s="270"/>
      <c r="G53" s="270"/>
      <c r="H53" s="270"/>
      <c r="I53" s="270"/>
    </row>
    <row r="54" ht="15" customHeight="1" spans="1:9" x14ac:dyDescent="0.25">
      <c r="A54" s="270"/>
      <c r="B54" s="270"/>
      <c r="C54" s="270"/>
      <c r="D54" s="270"/>
      <c r="E54" s="270"/>
      <c r="F54" s="270"/>
      <c r="G54" s="270"/>
      <c r="H54" s="270"/>
      <c r="I54" s="270"/>
    </row>
    <row r="55" ht="15" customHeight="1" spans="1:9" x14ac:dyDescent="0.25">
      <c r="A55" s="270"/>
      <c r="B55" s="270"/>
      <c r="C55" s="270"/>
      <c r="D55" s="270"/>
      <c r="E55" s="270"/>
      <c r="F55" s="270"/>
      <c r="G55" s="270"/>
      <c r="H55" s="270"/>
      <c r="I55" s="270"/>
    </row>
    <row r="56" ht="15" customHeight="1" spans="1:9" x14ac:dyDescent="0.25">
      <c r="A56" s="270"/>
      <c r="B56" s="270"/>
      <c r="C56" s="270"/>
      <c r="D56" s="270"/>
      <c r="E56" s="270"/>
      <c r="F56" s="270"/>
      <c r="G56" s="270"/>
      <c r="H56" s="270"/>
      <c r="I56" s="270"/>
    </row>
    <row r="57" ht="15" customHeight="1" spans="1:9" x14ac:dyDescent="0.25">
      <c r="A57" s="270"/>
      <c r="B57" s="270"/>
      <c r="C57" s="270"/>
      <c r="D57" s="270"/>
      <c r="E57" s="270"/>
      <c r="F57" s="270"/>
      <c r="G57" s="270"/>
      <c r="H57" s="270"/>
      <c r="I57" s="270"/>
    </row>
    <row r="58" ht="15" customHeight="1" spans="1:9" x14ac:dyDescent="0.25">
      <c r="A58" s="270"/>
      <c r="B58" s="270"/>
      <c r="C58" s="270"/>
      <c r="D58" s="270"/>
      <c r="E58" s="270"/>
      <c r="F58" s="270"/>
      <c r="G58" s="270"/>
      <c r="H58" s="270"/>
      <c r="I58" s="270"/>
    </row>
    <row r="59" ht="15" customHeight="1" spans="1:9" x14ac:dyDescent="0.25">
      <c r="A59" s="270"/>
      <c r="B59" s="270"/>
      <c r="C59" s="270"/>
      <c r="D59" s="270"/>
      <c r="E59" s="270"/>
      <c r="F59" s="270"/>
      <c r="G59" s="270"/>
      <c r="H59" s="270"/>
      <c r="I59" s="270"/>
    </row>
    <row r="60" ht="15" customHeight="1" spans="1:9" x14ac:dyDescent="0.25">
      <c r="A60" s="270"/>
      <c r="B60" s="270"/>
      <c r="C60" s="270"/>
      <c r="D60" s="270"/>
      <c r="E60" s="270"/>
      <c r="F60" s="270"/>
      <c r="G60" s="270"/>
      <c r="H60" s="270"/>
      <c r="I60" s="270"/>
    </row>
    <row r="61" ht="15" customHeight="1" spans="1:9" x14ac:dyDescent="0.25">
      <c r="A61" s="270"/>
      <c r="B61" s="270"/>
      <c r="C61" s="270"/>
      <c r="D61" s="270"/>
      <c r="E61" s="270"/>
      <c r="F61" s="270"/>
      <c r="G61" s="270"/>
      <c r="H61" s="270"/>
      <c r="I61" s="270"/>
    </row>
    <row r="62" ht="15" customHeight="1" spans="1:9" x14ac:dyDescent="0.25">
      <c r="A62" s="270"/>
      <c r="B62" s="270"/>
      <c r="C62" s="270"/>
      <c r="D62" s="270"/>
      <c r="E62" s="270"/>
      <c r="F62" s="270"/>
      <c r="G62" s="270"/>
      <c r="H62" s="270"/>
      <c r="I62" s="270"/>
    </row>
    <row r="63" ht="15" customHeight="1" spans="1:9" x14ac:dyDescent="0.25">
      <c r="A63" s="270"/>
      <c r="B63" s="270"/>
      <c r="C63" s="270"/>
      <c r="D63" s="270"/>
      <c r="E63" s="270"/>
      <c r="F63" s="270"/>
      <c r="G63" s="270"/>
      <c r="H63" s="270"/>
      <c r="I63" s="270"/>
    </row>
    <row r="64" ht="15" customHeight="1" spans="1:9" x14ac:dyDescent="0.25">
      <c r="A64" s="270"/>
      <c r="B64" s="270"/>
      <c r="C64" s="270"/>
      <c r="D64" s="270"/>
      <c r="E64" s="270"/>
      <c r="F64" s="270"/>
      <c r="G64" s="270"/>
      <c r="H64" s="270"/>
      <c r="I64" s="270"/>
    </row>
    <row r="65" ht="15" customHeight="1" spans="1:9" x14ac:dyDescent="0.25">
      <c r="A65" s="270"/>
      <c r="B65" s="270"/>
      <c r="C65" s="270"/>
      <c r="D65" s="270"/>
      <c r="E65" s="270"/>
      <c r="F65" s="270"/>
      <c r="G65" s="270"/>
      <c r="H65" s="270"/>
      <c r="I65" s="270"/>
    </row>
    <row r="66" ht="15" customHeight="1" spans="1:9" x14ac:dyDescent="0.25">
      <c r="A66" s="270"/>
      <c r="B66" s="270"/>
      <c r="C66" s="270"/>
      <c r="D66" s="270"/>
      <c r="E66" s="270"/>
      <c r="F66" s="270"/>
      <c r="G66" s="270"/>
      <c r="H66" s="270"/>
      <c r="I66" s="270"/>
    </row>
    <row r="67" ht="15" customHeight="1" spans="1:9" x14ac:dyDescent="0.25">
      <c r="A67" s="270"/>
      <c r="B67" s="270"/>
      <c r="C67" s="270"/>
      <c r="D67" s="270"/>
      <c r="E67" s="270"/>
      <c r="F67" s="270"/>
      <c r="G67" s="270"/>
      <c r="H67" s="270"/>
      <c r="I67" s="270"/>
    </row>
    <row r="68" ht="15" customHeight="1" spans="1:9" x14ac:dyDescent="0.25">
      <c r="A68" s="270"/>
      <c r="B68" s="270"/>
      <c r="C68" s="270"/>
      <c r="D68" s="270"/>
      <c r="E68" s="270"/>
      <c r="F68" s="270"/>
      <c r="G68" s="270"/>
      <c r="H68" s="270"/>
      <c r="I68" s="270"/>
    </row>
    <row r="69" ht="15" customHeight="1" spans="1:9" x14ac:dyDescent="0.25">
      <c r="A69" s="270"/>
      <c r="B69" s="270"/>
      <c r="C69" s="270"/>
      <c r="D69" s="270"/>
      <c r="E69" s="270"/>
      <c r="F69" s="270"/>
      <c r="G69" s="270"/>
      <c r="H69" s="270"/>
      <c r="I69" s="270"/>
    </row>
    <row r="70" ht="15" customHeight="1" spans="1:9" x14ac:dyDescent="0.25">
      <c r="A70" s="270"/>
      <c r="B70" s="270"/>
      <c r="C70" s="270"/>
      <c r="D70" s="270"/>
      <c r="E70" s="270"/>
      <c r="F70" s="270"/>
      <c r="G70" s="270"/>
      <c r="H70" s="270"/>
      <c r="I70" s="270"/>
    </row>
    <row r="71" ht="15" customHeight="1" spans="1:9" x14ac:dyDescent="0.25">
      <c r="A71" s="270"/>
      <c r="B71" s="270"/>
      <c r="C71" s="270"/>
      <c r="D71" s="270"/>
      <c r="E71" s="270"/>
      <c r="F71" s="270"/>
      <c r="G71" s="270"/>
      <c r="H71" s="270"/>
      <c r="I71" s="270"/>
    </row>
    <row r="72" ht="15" customHeight="1" spans="1:9" x14ac:dyDescent="0.25">
      <c r="A72" s="270"/>
      <c r="B72" s="270"/>
      <c r="C72" s="270"/>
      <c r="D72" s="270"/>
      <c r="E72" s="270"/>
      <c r="F72" s="270"/>
      <c r="G72" s="270"/>
      <c r="H72" s="270"/>
      <c r="I72" s="270"/>
    </row>
    <row r="73" ht="15" customHeight="1" spans="1:9" x14ac:dyDescent="0.25">
      <c r="A73" s="270"/>
      <c r="B73" s="270"/>
      <c r="C73" s="270"/>
      <c r="D73" s="270"/>
      <c r="E73" s="270"/>
      <c r="F73" s="270"/>
      <c r="G73" s="270"/>
      <c r="H73" s="270"/>
      <c r="I73" s="270"/>
    </row>
    <row r="74" ht="15" customHeight="1" spans="1:9" x14ac:dyDescent="0.25">
      <c r="A74" s="270"/>
      <c r="B74" s="270"/>
      <c r="C74" s="270"/>
      <c r="D74" s="270"/>
      <c r="E74" s="270"/>
      <c r="F74" s="270"/>
      <c r="G74" s="270"/>
      <c r="H74" s="270"/>
      <c r="I74" s="270"/>
    </row>
    <row r="75" ht="15" customHeight="1" spans="1:9" x14ac:dyDescent="0.25">
      <c r="A75" s="270"/>
      <c r="B75" s="270"/>
      <c r="C75" s="270"/>
      <c r="D75" s="270"/>
      <c r="E75" s="270"/>
      <c r="F75" s="270"/>
      <c r="G75" s="270"/>
      <c r="H75" s="270"/>
      <c r="I75" s="270"/>
    </row>
    <row r="76" ht="15" customHeight="1" spans="1:9" x14ac:dyDescent="0.25">
      <c r="A76" s="270"/>
      <c r="B76" s="270"/>
      <c r="C76" s="270"/>
      <c r="D76" s="270"/>
      <c r="E76" s="270"/>
      <c r="F76" s="270"/>
      <c r="G76" s="270"/>
      <c r="H76" s="270"/>
      <c r="I76" s="270"/>
    </row>
    <row r="77" ht="15" customHeight="1" spans="1:9" x14ac:dyDescent="0.25">
      <c r="A77" s="270"/>
      <c r="B77" s="270"/>
      <c r="C77" s="270"/>
      <c r="D77" s="270"/>
      <c r="E77" s="270"/>
      <c r="F77" s="270"/>
      <c r="G77" s="270"/>
      <c r="H77" s="270"/>
      <c r="I77" s="270"/>
    </row>
    <row r="78" ht="15" customHeight="1" spans="1:9" x14ac:dyDescent="0.25">
      <c r="A78" s="270"/>
      <c r="B78" s="270"/>
      <c r="C78" s="270"/>
      <c r="D78" s="270"/>
      <c r="E78" s="270"/>
      <c r="F78" s="270"/>
      <c r="G78" s="270"/>
      <c r="H78" s="270"/>
      <c r="I78" s="270"/>
    </row>
    <row r="79" ht="15" customHeight="1" spans="1:9" x14ac:dyDescent="0.25">
      <c r="A79" s="270"/>
      <c r="B79" s="270"/>
      <c r="C79" s="270"/>
      <c r="D79" s="270"/>
      <c r="E79" s="270"/>
      <c r="F79" s="270"/>
      <c r="G79" s="270"/>
      <c r="H79" s="270"/>
      <c r="I79" s="270"/>
    </row>
    <row r="80" ht="15" customHeight="1" spans="1:9" x14ac:dyDescent="0.25">
      <c r="A80" s="270"/>
      <c r="B80" s="270"/>
      <c r="C80" s="270"/>
      <c r="D80" s="270"/>
      <c r="E80" s="270"/>
      <c r="F80" s="270"/>
      <c r="G80" s="270"/>
      <c r="H80" s="270"/>
      <c r="I80" s="270"/>
    </row>
    <row r="81" ht="15" customHeight="1" spans="1:9" x14ac:dyDescent="0.25">
      <c r="A81" s="270"/>
      <c r="B81" s="270"/>
      <c r="C81" s="270"/>
      <c r="D81" s="270"/>
      <c r="E81" s="270"/>
      <c r="F81" s="270"/>
      <c r="G81" s="270"/>
      <c r="H81" s="270"/>
      <c r="I81" s="270"/>
    </row>
    <row r="82" ht="15" customHeight="1" spans="1:9" x14ac:dyDescent="0.25">
      <c r="A82" s="270"/>
      <c r="B82" s="270"/>
      <c r="C82" s="270"/>
      <c r="D82" s="270"/>
      <c r="E82" s="270"/>
      <c r="F82" s="270"/>
      <c r="G82" s="270"/>
      <c r="H82" s="270"/>
      <c r="I82" s="270"/>
    </row>
    <row r="83" ht="15" customHeight="1" spans="1:9" x14ac:dyDescent="0.25">
      <c r="A83" s="270"/>
      <c r="B83" s="270"/>
      <c r="C83" s="270"/>
      <c r="D83" s="270"/>
      <c r="E83" s="270"/>
      <c r="F83" s="270"/>
      <c r="G83" s="270"/>
      <c r="H83" s="270"/>
      <c r="I83" s="270"/>
    </row>
    <row r="84" ht="15" customHeight="1" spans="1:9" x14ac:dyDescent="0.25">
      <c r="A84" s="270"/>
      <c r="B84" s="270"/>
      <c r="C84" s="270"/>
      <c r="D84" s="270"/>
      <c r="E84" s="270"/>
      <c r="F84" s="270"/>
      <c r="G84" s="270"/>
      <c r="H84" s="270"/>
      <c r="I84" s="270"/>
    </row>
    <row r="85" ht="15" customHeight="1" spans="1:9" x14ac:dyDescent="0.25">
      <c r="A85" s="270"/>
      <c r="B85" s="270"/>
      <c r="C85" s="270"/>
      <c r="D85" s="270"/>
      <c r="E85" s="270"/>
      <c r="F85" s="270"/>
      <c r="G85" s="270"/>
      <c r="H85" s="270"/>
      <c r="I85" s="270"/>
    </row>
    <row r="86" ht="15" customHeight="1" spans="1:9" x14ac:dyDescent="0.25">
      <c r="A86" s="270"/>
      <c r="B86" s="270"/>
      <c r="C86" s="270"/>
      <c r="D86" s="270"/>
      <c r="E86" s="270"/>
      <c r="F86" s="270"/>
      <c r="G86" s="270"/>
      <c r="H86" s="270"/>
      <c r="I86" s="270"/>
    </row>
    <row r="87" ht="15" customHeight="1" spans="1:9" x14ac:dyDescent="0.25">
      <c r="A87" s="270"/>
      <c r="B87" s="270"/>
      <c r="C87" s="270"/>
      <c r="D87" s="270"/>
      <c r="E87" s="270"/>
      <c r="F87" s="270"/>
      <c r="G87" s="270"/>
      <c r="H87" s="270"/>
      <c r="I87" s="270"/>
    </row>
    <row r="88" ht="15" customHeight="1" spans="1:9" x14ac:dyDescent="0.25">
      <c r="A88" s="270"/>
      <c r="B88" s="270"/>
      <c r="C88" s="270"/>
      <c r="D88" s="270"/>
      <c r="E88" s="270"/>
      <c r="F88" s="270"/>
      <c r="G88" s="270"/>
      <c r="H88" s="270"/>
      <c r="I88" s="270"/>
    </row>
    <row r="89" ht="15" customHeight="1" spans="1:9" x14ac:dyDescent="0.25">
      <c r="A89" s="270"/>
      <c r="B89" s="270"/>
      <c r="C89" s="270"/>
      <c r="D89" s="270"/>
      <c r="E89" s="270"/>
      <c r="F89" s="270"/>
      <c r="G89" s="270"/>
      <c r="H89" s="270"/>
      <c r="I89" s="270"/>
    </row>
    <row r="90" ht="15" customHeight="1" spans="1:9" x14ac:dyDescent="0.25">
      <c r="A90" s="270"/>
      <c r="B90" s="270"/>
      <c r="C90" s="270"/>
      <c r="D90" s="270"/>
      <c r="E90" s="270"/>
      <c r="F90" s="270"/>
      <c r="G90" s="270"/>
      <c r="H90" s="270"/>
      <c r="I90" s="270"/>
    </row>
    <row r="91" ht="15" customHeight="1" spans="1:9" x14ac:dyDescent="0.25">
      <c r="A91" s="270"/>
      <c r="B91" s="270"/>
      <c r="C91" s="270"/>
      <c r="D91" s="270"/>
      <c r="E91" s="270"/>
      <c r="F91" s="270"/>
      <c r="G91" s="270"/>
      <c r="H91" s="270"/>
      <c r="I91" s="270"/>
    </row>
    <row r="92" ht="15" customHeight="1" spans="1:9" x14ac:dyDescent="0.25">
      <c r="A92" s="270"/>
      <c r="B92" s="270"/>
      <c r="C92" s="270"/>
      <c r="D92" s="270"/>
      <c r="E92" s="270"/>
      <c r="F92" s="270"/>
      <c r="G92" s="270"/>
      <c r="H92" s="270"/>
      <c r="I92" s="270"/>
    </row>
    <row r="93" ht="15" customHeight="1" spans="1:9" x14ac:dyDescent="0.25">
      <c r="A93" s="270"/>
      <c r="B93" s="270"/>
      <c r="C93" s="270"/>
      <c r="D93" s="270"/>
      <c r="E93" s="270"/>
      <c r="F93" s="270"/>
      <c r="G93" s="270"/>
      <c r="H93" s="270"/>
      <c r="I93" s="270"/>
    </row>
    <row r="94" ht="15" customHeight="1" spans="1:9" x14ac:dyDescent="0.25">
      <c r="A94" s="270"/>
      <c r="B94" s="270"/>
      <c r="C94" s="270"/>
      <c r="D94" s="270"/>
      <c r="E94" s="270"/>
      <c r="F94" s="270"/>
      <c r="G94" s="270"/>
      <c r="H94" s="270"/>
      <c r="I94" s="270"/>
    </row>
    <row r="95" ht="15" customHeight="1" spans="1:9" x14ac:dyDescent="0.25">
      <c r="A95" s="270"/>
      <c r="B95" s="270"/>
      <c r="C95" s="270"/>
      <c r="D95" s="270"/>
      <c r="E95" s="270"/>
      <c r="F95" s="270"/>
      <c r="G95" s="270"/>
      <c r="H95" s="270"/>
      <c r="I95" s="270"/>
    </row>
    <row r="96" ht="15" customHeight="1" spans="1:9" x14ac:dyDescent="0.25">
      <c r="A96" s="270"/>
      <c r="B96" s="270"/>
      <c r="C96" s="270"/>
      <c r="D96" s="270"/>
      <c r="E96" s="270"/>
      <c r="F96" s="270"/>
      <c r="G96" s="270"/>
      <c r="H96" s="270"/>
      <c r="I96" s="270"/>
    </row>
    <row r="97" ht="15" customHeight="1" spans="1:9" x14ac:dyDescent="0.25">
      <c r="A97" s="270"/>
      <c r="B97" s="270"/>
      <c r="C97" s="270"/>
      <c r="D97" s="270"/>
      <c r="E97" s="270"/>
      <c r="F97" s="270"/>
      <c r="G97" s="270"/>
      <c r="H97" s="270"/>
      <c r="I97" s="270"/>
    </row>
    <row r="98" ht="15" customHeight="1" spans="1:9" x14ac:dyDescent="0.25">
      <c r="A98" s="270"/>
      <c r="B98" s="270"/>
      <c r="C98" s="270"/>
      <c r="D98" s="270"/>
      <c r="E98" s="270"/>
      <c r="F98" s="270"/>
      <c r="G98" s="270"/>
      <c r="H98" s="270"/>
      <c r="I98" s="270"/>
    </row>
    <row r="99" ht="15" customHeight="1" spans="1:9" x14ac:dyDescent="0.25">
      <c r="A99" s="270"/>
      <c r="B99" s="270"/>
      <c r="C99" s="270"/>
      <c r="D99" s="270"/>
      <c r="E99" s="270"/>
      <c r="F99" s="270"/>
      <c r="G99" s="270"/>
      <c r="H99" s="270"/>
      <c r="I99" s="270"/>
    </row>
    <row r="100" ht="15" customHeight="1" spans="1:9" x14ac:dyDescent="0.25">
      <c r="A100" s="270"/>
      <c r="B100" s="270"/>
      <c r="C100" s="270"/>
      <c r="D100" s="270"/>
      <c r="E100" s="270"/>
      <c r="F100" s="270"/>
      <c r="G100" s="270"/>
      <c r="H100" s="270"/>
      <c r="I100" s="270"/>
    </row>
    <row r="101" ht="15" customHeight="1" spans="1:9" x14ac:dyDescent="0.25">
      <c r="A101" s="270"/>
      <c r="B101" s="270"/>
      <c r="C101" s="270"/>
      <c r="D101" s="270"/>
      <c r="E101" s="270"/>
      <c r="F101" s="270"/>
      <c r="G101" s="270"/>
      <c r="H101" s="270"/>
      <c r="I101" s="270"/>
    </row>
    <row r="102" ht="15" customHeight="1" spans="1:9" x14ac:dyDescent="0.25">
      <c r="A102" s="270"/>
      <c r="B102" s="270"/>
      <c r="C102" s="270"/>
      <c r="D102" s="270"/>
      <c r="E102" s="270"/>
      <c r="F102" s="270"/>
      <c r="G102" s="270"/>
      <c r="H102" s="270"/>
      <c r="I102" s="270"/>
    </row>
    <row r="103" ht="15" customHeight="1" spans="1:9" x14ac:dyDescent="0.25">
      <c r="A103" s="270"/>
      <c r="B103" s="270"/>
      <c r="C103" s="270"/>
      <c r="D103" s="270"/>
      <c r="E103" s="270"/>
      <c r="F103" s="270"/>
      <c r="G103" s="270"/>
      <c r="H103" s="270"/>
      <c r="I103" s="270"/>
    </row>
    <row r="104" ht="15" customHeight="1" spans="1:9" x14ac:dyDescent="0.25">
      <c r="A104" s="270"/>
      <c r="B104" s="270"/>
      <c r="C104" s="270"/>
      <c r="D104" s="270"/>
      <c r="E104" s="270"/>
      <c r="F104" s="270"/>
      <c r="G104" s="270"/>
      <c r="H104" s="270"/>
      <c r="I104" s="270"/>
    </row>
    <row r="105" ht="15" customHeight="1" spans="1:9" x14ac:dyDescent="0.25">
      <c r="A105" s="270"/>
      <c r="B105" s="270"/>
      <c r="C105" s="270"/>
      <c r="D105" s="270"/>
      <c r="E105" s="270"/>
      <c r="F105" s="270"/>
      <c r="G105" s="270"/>
      <c r="H105" s="270"/>
      <c r="I105" s="270"/>
    </row>
    <row r="106" ht="15" customHeight="1" spans="1:9" x14ac:dyDescent="0.25">
      <c r="A106" s="270"/>
      <c r="B106" s="270"/>
      <c r="C106" s="270"/>
      <c r="D106" s="270"/>
      <c r="E106" s="270"/>
      <c r="F106" s="270"/>
      <c r="G106" s="270"/>
      <c r="H106" s="270"/>
      <c r="I106" s="270"/>
    </row>
    <row r="107" ht="15" customHeight="1" spans="1:9" x14ac:dyDescent="0.25">
      <c r="A107" s="270"/>
      <c r="B107" s="270"/>
      <c r="C107" s="270"/>
      <c r="D107" s="270"/>
      <c r="E107" s="270"/>
      <c r="F107" s="270"/>
      <c r="G107" s="270"/>
      <c r="H107" s="270"/>
      <c r="I107" s="270"/>
    </row>
    <row r="108" ht="15" customHeight="1" spans="1:9" x14ac:dyDescent="0.25">
      <c r="A108" s="270"/>
      <c r="B108" s="270"/>
      <c r="C108" s="270"/>
      <c r="D108" s="270"/>
      <c r="E108" s="270"/>
      <c r="F108" s="270"/>
      <c r="G108" s="270"/>
      <c r="H108" s="270"/>
      <c r="I108" s="270"/>
    </row>
    <row r="109" ht="15" customHeight="1" spans="1:9" x14ac:dyDescent="0.25">
      <c r="A109" s="270"/>
      <c r="B109" s="270"/>
      <c r="C109" s="270"/>
      <c r="D109" s="270"/>
      <c r="E109" s="270"/>
      <c r="F109" s="270"/>
      <c r="G109" s="270"/>
      <c r="H109" s="270"/>
      <c r="I109" s="270"/>
    </row>
    <row r="110" ht="15" customHeight="1" spans="1:9" x14ac:dyDescent="0.25">
      <c r="A110" s="270"/>
      <c r="B110" s="270"/>
      <c r="C110" s="270"/>
      <c r="D110" s="270"/>
      <c r="E110" s="270"/>
      <c r="F110" s="270"/>
      <c r="G110" s="270"/>
      <c r="H110" s="270"/>
      <c r="I110" s="270"/>
    </row>
    <row r="111" ht="15" customHeight="1" spans="1:9" x14ac:dyDescent="0.25">
      <c r="A111" s="270"/>
      <c r="B111" s="270"/>
      <c r="C111" s="270"/>
      <c r="D111" s="270"/>
      <c r="E111" s="270"/>
      <c r="F111" s="270"/>
      <c r="G111" s="270"/>
      <c r="H111" s="270"/>
      <c r="I111" s="270"/>
    </row>
    <row r="112" ht="15" customHeight="1" spans="1:9" x14ac:dyDescent="0.25">
      <c r="A112" s="270"/>
      <c r="B112" s="270"/>
      <c r="C112" s="270"/>
      <c r="D112" s="270"/>
      <c r="E112" s="270"/>
      <c r="F112" s="270"/>
      <c r="G112" s="270"/>
      <c r="H112" s="270"/>
      <c r="I112" s="270"/>
    </row>
    <row r="113" ht="15" customHeight="1" spans="1:9" x14ac:dyDescent="0.25">
      <c r="A113" s="270"/>
      <c r="B113" s="270"/>
      <c r="C113" s="270"/>
      <c r="D113" s="270"/>
      <c r="E113" s="270"/>
      <c r="F113" s="270"/>
      <c r="G113" s="270"/>
      <c r="H113" s="270"/>
      <c r="I113" s="270"/>
    </row>
    <row r="114" ht="15" customHeight="1" spans="1:9" x14ac:dyDescent="0.25">
      <c r="A114" s="270"/>
      <c r="B114" s="270"/>
      <c r="C114" s="270"/>
      <c r="D114" s="270"/>
      <c r="E114" s="270"/>
      <c r="F114" s="270"/>
      <c r="G114" s="270"/>
      <c r="H114" s="270"/>
      <c r="I114" s="270"/>
    </row>
    <row r="115" ht="15" customHeight="1" spans="1:9" x14ac:dyDescent="0.25">
      <c r="A115" s="270"/>
      <c r="B115" s="270"/>
      <c r="C115" s="270"/>
      <c r="D115" s="270"/>
      <c r="E115" s="270"/>
      <c r="F115" s="270"/>
      <c r="G115" s="270"/>
      <c r="H115" s="270"/>
      <c r="I115" s="270"/>
    </row>
    <row r="116" ht="15" customHeight="1" spans="1:9" x14ac:dyDescent="0.25">
      <c r="A116" s="270"/>
      <c r="B116" s="270"/>
      <c r="C116" s="270"/>
      <c r="D116" s="270"/>
      <c r="E116" s="270"/>
      <c r="F116" s="270"/>
      <c r="G116" s="270"/>
      <c r="H116" s="270"/>
      <c r="I116" s="270"/>
    </row>
    <row r="117" ht="15" customHeight="1" spans="1:9" x14ac:dyDescent="0.25">
      <c r="A117" s="270"/>
      <c r="B117" s="270"/>
      <c r="C117" s="270"/>
      <c r="D117" s="270"/>
      <c r="E117" s="270"/>
      <c r="F117" s="270"/>
      <c r="G117" s="270"/>
      <c r="H117" s="270"/>
      <c r="I117" s="270"/>
    </row>
    <row r="118" ht="15" customHeight="1" spans="1:9" x14ac:dyDescent="0.25">
      <c r="A118" s="270"/>
      <c r="B118" s="270"/>
      <c r="C118" s="270"/>
      <c r="D118" s="270"/>
      <c r="E118" s="270"/>
      <c r="F118" s="270"/>
      <c r="G118" s="270"/>
      <c r="H118" s="270"/>
      <c r="I118" s="270"/>
    </row>
    <row r="119" ht="15" customHeight="1" spans="1:9" x14ac:dyDescent="0.25">
      <c r="A119" s="270"/>
      <c r="B119" s="270"/>
      <c r="C119" s="270"/>
      <c r="D119" s="270"/>
      <c r="E119" s="270"/>
      <c r="F119" s="270"/>
      <c r="G119" s="270"/>
      <c r="H119" s="270"/>
      <c r="I119" s="270"/>
    </row>
    <row r="120" ht="15" customHeight="1" spans="1:9" x14ac:dyDescent="0.25">
      <c r="A120" s="270"/>
      <c r="B120" s="270"/>
      <c r="C120" s="270"/>
      <c r="D120" s="270"/>
      <c r="E120" s="270"/>
      <c r="F120" s="270"/>
      <c r="G120" s="270"/>
      <c r="H120" s="270"/>
      <c r="I120" s="270"/>
    </row>
    <row r="121" ht="15" customHeight="1" spans="1:9" x14ac:dyDescent="0.25">
      <c r="A121" s="270"/>
      <c r="B121" s="270"/>
      <c r="C121" s="270"/>
      <c r="D121" s="270"/>
      <c r="E121" s="270"/>
      <c r="F121" s="270"/>
      <c r="G121" s="270"/>
      <c r="H121" s="270"/>
      <c r="I121" s="270"/>
    </row>
    <row r="122" ht="15" customHeight="1" spans="1:9" x14ac:dyDescent="0.25">
      <c r="A122" s="270"/>
      <c r="B122" s="270"/>
      <c r="C122" s="270"/>
      <c r="D122" s="270"/>
      <c r="E122" s="270"/>
      <c r="F122" s="270"/>
      <c r="G122" s="270"/>
      <c r="H122" s="270"/>
      <c r="I122" s="270"/>
    </row>
    <row r="123" ht="15" customHeight="1" spans="1:9" x14ac:dyDescent="0.25">
      <c r="A123" s="270"/>
      <c r="B123" s="270"/>
      <c r="C123" s="270"/>
      <c r="D123" s="270"/>
      <c r="E123" s="270"/>
      <c r="F123" s="270"/>
      <c r="G123" s="270"/>
      <c r="H123" s="270"/>
      <c r="I123" s="270"/>
    </row>
    <row r="124" ht="15" customHeight="1" spans="1:9" x14ac:dyDescent="0.25">
      <c r="A124" s="270"/>
      <c r="B124" s="270"/>
      <c r="C124" s="270"/>
      <c r="D124" s="270"/>
      <c r="E124" s="270"/>
      <c r="F124" s="270"/>
      <c r="G124" s="270"/>
      <c r="H124" s="270"/>
      <c r="I124" s="270"/>
    </row>
    <row r="125" ht="15" customHeight="1" spans="1:9" x14ac:dyDescent="0.25">
      <c r="A125" s="270"/>
      <c r="B125" s="270"/>
      <c r="C125" s="270"/>
      <c r="D125" s="270"/>
      <c r="E125" s="270"/>
      <c r="F125" s="270"/>
      <c r="G125" s="270"/>
      <c r="H125" s="270"/>
      <c r="I125" s="27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5"/>
  <sheetViews>
    <sheetView workbookViewId="0" zoomScale="100" zoomScaleNormal="100">
      <selection activeCell="C5" sqref="C5"/>
    </sheetView>
  </sheetViews>
  <sheetFormatPr defaultRowHeight="14.4" outlineLevelRow="0" outlineLevelCol="0" x14ac:dyDescent="0.3" customHeight="1"/>
  <cols>
    <col min="1" max="1" width="2.5546875" customWidth="1"/>
    <col min="2" max="2" width="15.77734375" customWidth="1"/>
    <col min="3" max="3" width="29.6640625" customWidth="1"/>
    <col min="4" max="4" width="27.77734375" customWidth="1"/>
    <col min="5" max="5" width="19.44140625" customWidth="1"/>
    <col min="6" max="6" width="21.33203125" customWidth="1"/>
    <col min="7" max="7" width="18.5546875" customWidth="1"/>
    <col min="8" max="8" width="27.77734375" customWidth="1"/>
    <col min="9" max="9" width="4.44140625" customWidth="1"/>
    <col min="10" max="10" width="29.6640625" customWidth="1"/>
    <col min="11" max="13" width="19.44140625" customWidth="1"/>
    <col min="14" max="14" width="13" customWidth="1"/>
  </cols>
  <sheetData>
    <row r="1" ht="23.4" customHeight="1" spans="1:16" x14ac:dyDescent="0.25">
      <c r="A1" s="3"/>
      <c r="B1" s="206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3"/>
      <c r="B2" s="207" t="s">
        <v>151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5" customHeight="1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15" customHeight="1" spans="1:16" x14ac:dyDescent="0.25">
      <c r="A4" s="3"/>
      <c r="B4" s="9" t="s">
        <v>152</v>
      </c>
      <c r="C4" s="3"/>
      <c r="D4" s="208"/>
      <c r="E4" s="3"/>
      <c r="F4" s="9" t="s">
        <v>153</v>
      </c>
      <c r="G4" s="3"/>
      <c r="H4" s="208"/>
      <c r="I4" s="3"/>
      <c r="J4" s="3"/>
      <c r="K4" s="3"/>
      <c r="L4" s="3"/>
      <c r="M4" s="3"/>
      <c r="N4" s="3"/>
      <c r="O4" s="3"/>
      <c r="P4" s="3"/>
    </row>
    <row r="5" ht="19.2" customHeight="1" spans="1:16" x14ac:dyDescent="0.25">
      <c r="A5" s="3"/>
      <c r="B5" s="209" t="s">
        <v>154</v>
      </c>
      <c r="C5" s="210"/>
      <c r="D5" s="3"/>
      <c r="E5" s="3"/>
      <c r="F5" s="211" t="s">
        <v>155</v>
      </c>
      <c r="G5" s="212">
        <f t="array" ref="G5">IF($C$6="","",SUMPRODUCT((TRIM(tblLines[Party (Name)])=$C$6)*IFERROR(tblLines[Amount]+0,0)))</f>
      </c>
      <c r="H5" s="3"/>
      <c r="I5" s="3"/>
      <c r="J5" s="3"/>
      <c r="K5" s="3"/>
      <c r="L5" s="3"/>
      <c r="M5" s="3"/>
      <c r="N5" s="3"/>
      <c r="O5" s="3"/>
      <c r="P5" s="3"/>
    </row>
    <row r="6" ht="19.2" customHeight="1" spans="1:16" x14ac:dyDescent="0.25">
      <c r="A6" s="3"/>
      <c r="B6" s="209" t="s">
        <v>9</v>
      </c>
      <c r="C6" s="213"/>
      <c r="D6" s="3"/>
      <c r="E6" s="3"/>
      <c r="F6" s="211" t="s">
        <v>156</v>
      </c>
      <c r="G6" s="214">
        <f t="array" ref="G6">IF($C$6="","",SUMPRODUCT((TRIM(tblPayments[Party (Name)])=$C$6)*IFERROR(tblPayments[Amount]+0,0)))</f>
      </c>
      <c r="H6" s="3"/>
      <c r="I6" s="3"/>
      <c r="J6" s="3"/>
      <c r="K6" s="3"/>
      <c r="L6" s="3"/>
      <c r="M6" s="3"/>
      <c r="N6" s="3"/>
      <c r="O6" s="3"/>
      <c r="P6" s="3"/>
    </row>
    <row r="7" ht="19.2" customHeight="1" spans="1:16" x14ac:dyDescent="0.25">
      <c r="A7" s="3"/>
      <c r="B7" s="209" t="s">
        <v>15</v>
      </c>
      <c r="C7" s="213"/>
      <c r="D7" s="3"/>
      <c r="E7" s="3"/>
      <c r="F7" s="211" t="s">
        <v>157</v>
      </c>
      <c r="G7" s="215">
        <f>IF($C$6="","",$G$5-$G$6)</f>
      </c>
      <c r="H7" s="3"/>
      <c r="I7" s="3"/>
      <c r="J7" s="3"/>
      <c r="K7" s="3"/>
      <c r="L7" s="3"/>
      <c r="M7" s="3"/>
      <c r="N7" s="3"/>
      <c r="O7" s="3"/>
      <c r="P7" s="3"/>
    </row>
    <row r="8" ht="19.2" customHeight="1" spans="1:16" x14ac:dyDescent="0.25">
      <c r="A8" s="3"/>
      <c r="B8" s="209" t="s">
        <v>158</v>
      </c>
      <c r="C8" s="213"/>
      <c r="D8" s="3"/>
      <c r="E8" s="3"/>
      <c r="F8" s="211" t="s">
        <v>159</v>
      </c>
      <c r="G8" s="215">
        <f>IF($C$6="","",$G$7-IFERROR($C$10+0,0))</f>
      </c>
      <c r="H8" s="3"/>
      <c r="I8" s="3"/>
      <c r="J8" s="3"/>
      <c r="K8" s="3"/>
      <c r="L8" s="3"/>
      <c r="M8" s="3"/>
      <c r="N8" s="3"/>
      <c r="O8" s="3"/>
      <c r="P8" s="3"/>
    </row>
    <row r="9" ht="16.8" customHeight="1" spans="1:16" x14ac:dyDescent="0.25">
      <c r="A9" s="3"/>
      <c r="B9" s="209" t="s">
        <v>160</v>
      </c>
      <c r="C9" s="21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6.8" customHeight="1" spans="1:16" x14ac:dyDescent="0.25">
      <c r="A10" s="3"/>
      <c r="B10" s="209" t="s">
        <v>8</v>
      </c>
      <c r="C10" s="21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16.8" customHeight="1" spans="1:16" x14ac:dyDescent="0.25">
      <c r="A11" s="3"/>
      <c r="B11" s="209" t="s">
        <v>161</v>
      </c>
      <c r="C11" s="21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37.95" customHeight="1" spans="1:1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15" customHeight="1" spans="1:16" x14ac:dyDescent="0.25">
      <c r="A13" s="3"/>
      <c r="B13" s="21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15" customHeight="1" spans="1:1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15" customHeight="1" spans="1:16" x14ac:dyDescent="0.25">
      <c r="A15" s="3"/>
      <c r="B15" s="217" t="s">
        <v>162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15" customHeight="1" spans="1:1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5" customHeight="1" spans="1:1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5" customHeight="1" spans="1:1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5" customHeight="1" spans="1:16" x14ac:dyDescent="0.25">
      <c r="A19" s="3"/>
      <c r="B19" s="218" t="s">
        <v>163</v>
      </c>
      <c r="C19" s="3"/>
      <c r="D19" s="3"/>
      <c r="E19" s="3"/>
      <c r="F19" s="3"/>
      <c r="G19" s="3"/>
      <c r="H19" s="3"/>
      <c r="I19" s="3"/>
      <c r="J19" s="218" t="s">
        <v>164</v>
      </c>
      <c r="K19" s="3"/>
      <c r="L19" s="3"/>
      <c r="M19" s="3"/>
      <c r="N19" s="3"/>
      <c r="O19" s="3"/>
      <c r="P19" s="3"/>
    </row>
    <row r="20" ht="15" customHeight="1" spans="1:16" x14ac:dyDescent="0.25">
      <c r="A20" s="3"/>
      <c r="B20" s="219" t="s">
        <v>154</v>
      </c>
      <c r="C20" s="219" t="s">
        <v>9</v>
      </c>
      <c r="D20" s="219" t="s">
        <v>15</v>
      </c>
      <c r="E20" s="219" t="s">
        <v>158</v>
      </c>
      <c r="F20" s="219" t="s">
        <v>160</v>
      </c>
      <c r="G20" s="219" t="s">
        <v>8</v>
      </c>
      <c r="H20" s="219" t="s">
        <v>161</v>
      </c>
      <c r="I20" s="3"/>
      <c r="J20" s="220" t="s">
        <v>9</v>
      </c>
      <c r="K20" s="220" t="s">
        <v>155</v>
      </c>
      <c r="L20" s="220" t="s">
        <v>165</v>
      </c>
      <c r="M20" s="220" t="s">
        <v>157</v>
      </c>
      <c r="N20" s="220" t="s">
        <v>166</v>
      </c>
      <c r="O20" s="3"/>
      <c r="P20" s="3"/>
    </row>
    <row r="21" ht="16.8" customHeight="1" spans="1:16" x14ac:dyDescent="0.25">
      <c r="A21" s="3"/>
      <c r="B21" s="221"/>
      <c r="C21" s="222"/>
      <c r="D21" s="222"/>
      <c r="E21" s="223"/>
      <c r="F21" s="222"/>
      <c r="G21" s="224"/>
      <c r="H21" s="225"/>
      <c r="I21" s="3"/>
      <c r="J21" s="226" t="str">
        <f t="array" ref="J21:J31">IFERROR(_xlfn._xlws.SORT(_xlfn.UNIQUE(_xlfn._xlws.FILTER(TRIM(tblLines[Party (Name)]),TRIM(tblLines[Party (Name)])&lt;&gt;""))),"")</f>
        <v>Allah Walay Traders</v>
      </c>
      <c r="K21" s="227">
        <f t="array" ref="K21">IF($J21="","",SUMPRODUCT((TRIM(tblLines[Party (Name)])=$J21)*IFERROR(tblLines[Amount]+0,0)))</f>
        <v>9287189</v>
      </c>
      <c r="L21" s="228">
        <f t="array" ref="L21">IF($J21="","",SUMPRODUCT((TRIM(tblPayments[Party (Name)])=$J21)*IFERROR(tblPayments[Amount]+0,0)))</f>
        <v>0</v>
      </c>
      <c r="M21" s="229">
        <f>IF($J21="","",$K21-$L21)</f>
        <v>9287189</v>
      </c>
      <c r="N21" s="230">
        <f>IF(OR($J21="",$K21=0),"",$L21/$K21)</f>
        <v>0</v>
      </c>
      <c r="O21" s="3"/>
      <c r="P21" s="3"/>
    </row>
    <row r="22" ht="16.8" customHeight="1" spans="1:16" x14ac:dyDescent="0.25">
      <c r="A22" s="3"/>
      <c r="B22" s="221"/>
      <c r="C22" s="222"/>
      <c r="D22" s="222"/>
      <c r="E22" s="223"/>
      <c r="F22" s="222"/>
      <c r="G22" s="224"/>
      <c r="H22" s="225"/>
      <c r="I22" s="3"/>
      <c r="J22" s="226" t="s">
        <v>167</v>
      </c>
      <c r="K22" s="227">
        <f t="array" ref="K22">IF($J22="","",SUMPRODUCT((TRIM(tblLines[Party (Name)])=$J22)*IFERROR(tblLines[Amount]+0,0)))</f>
        <v>5062500</v>
      </c>
      <c r="L22" s="228">
        <f t="array" ref="L22">IF($J22="","",SUMPRODUCT((TRIM(tblPayments[Party (Name)])=$J22)*IFERROR(tblPayments[Amount]+0,0)))</f>
        <v>0</v>
      </c>
      <c r="M22" s="229">
        <f t="shared" ref="M22:M60" si="0">IF($J22="","",$K22-$L22)</f>
        <v>5062500</v>
      </c>
      <c r="N22" s="230">
        <f t="shared" ref="N22:N60" si="1">IF(OR($J22="",$K22=0),"",$L22/$K22)</f>
        <v>0</v>
      </c>
      <c r="O22" s="3"/>
      <c r="P22" s="3"/>
    </row>
    <row r="23" ht="16.8" customHeight="1" spans="1:16" x14ac:dyDescent="0.25">
      <c r="A23" s="3"/>
      <c r="B23" s="221"/>
      <c r="C23" s="222"/>
      <c r="D23" s="222"/>
      <c r="E23" s="223"/>
      <c r="F23" s="222"/>
      <c r="G23" s="224"/>
      <c r="H23" s="225"/>
      <c r="I23" s="3"/>
      <c r="J23" s="226" t="s">
        <v>168</v>
      </c>
      <c r="K23" s="227">
        <f t="array" ref="K23">IF($J23="","",SUMPRODUCT((TRIM(tblLines[Party (Name)])=$J23)*IFERROR(tblLines[Amount]+0,0)))</f>
        <v>4556250</v>
      </c>
      <c r="L23" s="228">
        <f t="array" ref="L23">IF($J23="","",SUMPRODUCT((TRIM(tblPayments[Party (Name)])=$J23)*IFERROR(tblPayments[Amount]+0,0)))</f>
        <v>0</v>
      </c>
      <c r="M23" s="229">
        <f t="shared" si="0"/>
        <v>4556250</v>
      </c>
      <c r="N23" s="230">
        <f t="shared" si="1"/>
        <v>0</v>
      </c>
      <c r="O23" s="3"/>
      <c r="P23" s="3"/>
    </row>
    <row r="24" ht="16.8" customHeight="1" spans="1:16" x14ac:dyDescent="0.25">
      <c r="A24" s="3"/>
      <c r="B24" s="221"/>
      <c r="C24" s="222"/>
      <c r="D24" s="222"/>
      <c r="E24" s="223"/>
      <c r="F24" s="222"/>
      <c r="G24" s="224"/>
      <c r="H24" s="225"/>
      <c r="I24" s="3"/>
      <c r="J24" s="226" t="s">
        <v>134</v>
      </c>
      <c r="K24" s="227">
        <f t="array" ref="K24">IF($J24="","",SUMPRODUCT((TRIM(tblLines[Party (Name)])=$J24)*IFERROR(tblLines[Amount]+0,0)))</f>
        <v>6053807</v>
      </c>
      <c r="L24" s="228">
        <f t="array" ref="L24">IF($J24="","",SUMPRODUCT((TRIM(tblPayments[Party (Name)])=$J24)*IFERROR(tblPayments[Amount]+0,0)))</f>
        <v>0</v>
      </c>
      <c r="M24" s="229">
        <f t="shared" si="0"/>
        <v>6053807</v>
      </c>
      <c r="N24" s="230">
        <f t="shared" si="1"/>
        <v>0</v>
      </c>
      <c r="O24" s="3"/>
      <c r="P24" s="3"/>
    </row>
    <row r="25" ht="16.8" customHeight="1" spans="1:16" x14ac:dyDescent="0.25">
      <c r="A25" s="3"/>
      <c r="B25" s="221"/>
      <c r="C25" s="222"/>
      <c r="D25" s="222"/>
      <c r="E25" s="223"/>
      <c r="F25" s="222"/>
      <c r="G25" s="224"/>
      <c r="H25" s="225"/>
      <c r="I25" s="3"/>
      <c r="J25" s="226" t="s">
        <v>117</v>
      </c>
      <c r="K25" s="227">
        <f t="array" ref="K25">IF($J25="","",SUMPRODUCT((TRIM(tblLines[Party (Name)])=$J25)*IFERROR(tblLines[Amount]+0,0)))</f>
        <v>12054139</v>
      </c>
      <c r="L25" s="228">
        <f t="array" ref="L25">IF($J25="","",SUMPRODUCT((TRIM(tblPayments[Party (Name)])=$J25)*IFERROR(tblPayments[Amount]+0,0)))</f>
        <v>0</v>
      </c>
      <c r="M25" s="229">
        <f t="shared" si="0"/>
        <v>12054139</v>
      </c>
      <c r="N25" s="230">
        <f t="shared" si="1"/>
        <v>0</v>
      </c>
      <c r="O25" s="3"/>
      <c r="P25" s="3"/>
    </row>
    <row r="26" ht="16.8" customHeight="1" spans="1:16" x14ac:dyDescent="0.25">
      <c r="A26" s="3"/>
      <c r="B26" s="221"/>
      <c r="C26" s="222"/>
      <c r="D26" s="222"/>
      <c r="E26" s="223"/>
      <c r="F26" s="222"/>
      <c r="G26" s="224"/>
      <c r="H26" s="225"/>
      <c r="I26" s="3"/>
      <c r="J26" s="226" t="s">
        <v>169</v>
      </c>
      <c r="K26" s="227">
        <f t="array" ref="K26">IF($J26="","",SUMPRODUCT((TRIM(tblLines[Party (Name)])=$J26)*IFERROR(tblLines[Amount]+0,0)))</f>
        <v>3237500</v>
      </c>
      <c r="L26" s="228">
        <f t="array" ref="L26">IF($J26="","",SUMPRODUCT((TRIM(tblPayments[Party (Name)])=$J26)*IFERROR(tblPayments[Amount]+0,0)))</f>
        <v>0</v>
      </c>
      <c r="M26" s="229">
        <f t="shared" si="0"/>
        <v>3237500</v>
      </c>
      <c r="N26" s="230">
        <f t="shared" si="1"/>
        <v>0</v>
      </c>
      <c r="O26" s="3"/>
      <c r="P26" s="3"/>
    </row>
    <row r="27" ht="16.8" customHeight="1" spans="1:16" x14ac:dyDescent="0.25">
      <c r="A27" s="3"/>
      <c r="B27" s="221"/>
      <c r="C27" s="222"/>
      <c r="D27" s="222"/>
      <c r="E27" s="223"/>
      <c r="F27" s="222"/>
      <c r="G27" s="224"/>
      <c r="H27" s="225"/>
      <c r="I27" s="3"/>
      <c r="J27" s="226" t="s">
        <v>139</v>
      </c>
      <c r="K27" s="227">
        <f t="array" ref="K27">IF($J27="","",SUMPRODUCT((TRIM(tblLines[Party (Name)])=$J27)*IFERROR(tblLines[Amount]+0,0)))</f>
        <v>122823474</v>
      </c>
      <c r="L27" s="228">
        <f t="array" ref="L27">IF($J27="","",SUMPRODUCT((TRIM(tblPayments[Party (Name)])=$J27)*IFERROR(tblPayments[Amount]+0,0)))</f>
        <v>0</v>
      </c>
      <c r="M27" s="229">
        <f t="shared" si="0"/>
        <v>122823474</v>
      </c>
      <c r="N27" s="230">
        <f t="shared" si="1"/>
        <v>0</v>
      </c>
      <c r="O27" s="3"/>
      <c r="P27" s="3"/>
    </row>
    <row r="28" ht="16.8" customHeight="1" spans="1:16" x14ac:dyDescent="0.25">
      <c r="A28" s="3"/>
      <c r="B28" s="221"/>
      <c r="C28" s="222"/>
      <c r="D28" s="222"/>
      <c r="E28" s="223"/>
      <c r="F28" s="222"/>
      <c r="G28" s="224"/>
      <c r="H28" s="225"/>
      <c r="I28" s="3"/>
      <c r="J28" s="226" t="s">
        <v>170</v>
      </c>
      <c r="K28" s="227">
        <f t="array" ref="K28">IF($J28="","",SUMPRODUCT((TRIM(tblLines[Party (Name)])=$J28)*IFERROR(tblLines[Amount]+0,0)))</f>
        <v>2545313</v>
      </c>
      <c r="L28" s="228">
        <f t="array" ref="L28">IF($J28="","",SUMPRODUCT((TRIM(tblPayments[Party (Name)])=$J28)*IFERROR(tblPayments[Amount]+0,0)))</f>
        <v>0</v>
      </c>
      <c r="M28" s="229">
        <f t="shared" si="0"/>
        <v>2545313</v>
      </c>
      <c r="N28" s="230">
        <f t="shared" si="1"/>
        <v>0</v>
      </c>
      <c r="O28" s="3"/>
      <c r="P28" s="3"/>
    </row>
    <row r="29" ht="16.8" customHeight="1" spans="1:16" x14ac:dyDescent="0.25">
      <c r="A29" s="3"/>
      <c r="B29" s="221"/>
      <c r="C29" s="222"/>
      <c r="D29" s="222"/>
      <c r="E29" s="223"/>
      <c r="F29" s="222"/>
      <c r="G29" s="224"/>
      <c r="H29" s="225"/>
      <c r="I29" s="3"/>
      <c r="J29" s="226" t="s">
        <v>128</v>
      </c>
      <c r="K29" s="227">
        <f t="array" ref="K29">IF($J29="","",SUMPRODUCT((TRIM(tblLines[Party (Name)])=$J29)*IFERROR(tblLines[Amount]+0,0)))</f>
        <v>20111694</v>
      </c>
      <c r="L29" s="228">
        <f t="array" ref="L29">IF($J29="","",SUMPRODUCT((TRIM(tblPayments[Party (Name)])=$J29)*IFERROR(tblPayments[Amount]+0,0)))</f>
        <v>0</v>
      </c>
      <c r="M29" s="229">
        <f t="shared" si="0"/>
        <v>20111694</v>
      </c>
      <c r="N29" s="230">
        <f t="shared" si="1"/>
        <v>0</v>
      </c>
      <c r="O29" s="3"/>
      <c r="P29" s="3"/>
    </row>
    <row r="30" ht="16.8" customHeight="1" spans="1:16" x14ac:dyDescent="0.25">
      <c r="A30" s="3"/>
      <c r="B30" s="221"/>
      <c r="C30" s="222"/>
      <c r="D30" s="222"/>
      <c r="E30" s="223"/>
      <c r="F30" s="222"/>
      <c r="G30" s="224"/>
      <c r="H30" s="225"/>
      <c r="I30" s="3"/>
      <c r="J30" s="226" t="s">
        <v>123</v>
      </c>
      <c r="K30" s="227">
        <f t="array" ref="K30">IF($J30="","",SUMPRODUCT((TRIM(tblLines[Party (Name)])=$J30)*IFERROR(tblLines[Amount]+0,0)))</f>
        <v>4249063</v>
      </c>
      <c r="L30" s="228">
        <f t="array" ref="L30">IF($J30="","",SUMPRODUCT((TRIM(tblPayments[Party (Name)])=$J30)*IFERROR(tblPayments[Amount]+0,0)))</f>
        <v>0</v>
      </c>
      <c r="M30" s="229">
        <f t="shared" si="0"/>
        <v>4249063</v>
      </c>
      <c r="N30" s="230">
        <f t="shared" si="1"/>
        <v>0</v>
      </c>
      <c r="O30" s="3"/>
      <c r="P30" s="3"/>
    </row>
    <row r="31" ht="16.8" customHeight="1" spans="1:16" x14ac:dyDescent="0.25">
      <c r="A31" s="3"/>
      <c r="B31" s="221"/>
      <c r="C31" s="222"/>
      <c r="D31" s="222"/>
      <c r="E31" s="223"/>
      <c r="F31" s="222"/>
      <c r="G31" s="224"/>
      <c r="H31" s="225"/>
      <c r="I31" s="3"/>
      <c r="J31" s="226" t="s">
        <v>171</v>
      </c>
      <c r="K31" s="227">
        <f t="array" ref="K31">IF($J31="","",SUMPRODUCT((TRIM(tblLines[Party (Name)])=$J31)*IFERROR(tblLines[Amount]+0,0)))</f>
        <v>3476505</v>
      </c>
      <c r="L31" s="228">
        <f t="array" ref="L31">IF($J31="","",SUMPRODUCT((TRIM(tblPayments[Party (Name)])=$J31)*IFERROR(tblPayments[Amount]+0,0)))</f>
        <v>0</v>
      </c>
      <c r="M31" s="229">
        <f t="shared" si="0"/>
        <v>3476505</v>
      </c>
      <c r="N31" s="230">
        <f t="shared" si="1"/>
        <v>0</v>
      </c>
      <c r="O31" s="3"/>
      <c r="P31" s="3"/>
    </row>
    <row r="32" ht="16.8" customHeight="1" spans="1:16" x14ac:dyDescent="0.25">
      <c r="A32" s="3"/>
      <c r="B32" s="221"/>
      <c r="C32" s="222"/>
      <c r="D32" s="222"/>
      <c r="E32" s="223"/>
      <c r="F32" s="222"/>
      <c r="G32" s="224"/>
      <c r="H32" s="225"/>
      <c r="I32" s="3"/>
      <c r="J32" s="226"/>
      <c r="K32" s="227">
        <f t="array" ref="K32">IF($J32="","",SUMPRODUCT((TRIM(tblLines[Party (Name)])=$J32)*IFERROR(tblLines[Amount]+0,0)))</f>
      </c>
      <c r="L32" s="228">
        <f t="array" ref="L32">IF($J32="","",SUMPRODUCT((TRIM(tblPayments[Party (Name)])=$J32)*IFERROR(tblPayments[Amount]+0,0)))</f>
      </c>
      <c r="M32" s="229">
        <f t="shared" si="0"/>
      </c>
      <c r="N32" s="230">
        <f t="shared" si="1"/>
      </c>
      <c r="O32" s="3"/>
      <c r="P32" s="3"/>
    </row>
    <row r="33" ht="16.8" customHeight="1" spans="1:16" x14ac:dyDescent="0.25">
      <c r="A33" s="3"/>
      <c r="B33" s="221"/>
      <c r="C33" s="222"/>
      <c r="D33" s="222"/>
      <c r="E33" s="223"/>
      <c r="F33" s="222"/>
      <c r="G33" s="224"/>
      <c r="H33" s="225"/>
      <c r="I33" s="3"/>
      <c r="J33" s="226"/>
      <c r="K33" s="227">
        <f t="array" ref="K33">IF($J33="","",SUMPRODUCT((TRIM(tblLines[Party (Name)])=$J33)*IFERROR(tblLines[Amount]+0,0)))</f>
      </c>
      <c r="L33" s="228">
        <f t="array" ref="L33">IF($J33="","",SUMPRODUCT((TRIM(tblPayments[Party (Name)])=$J33)*IFERROR(tblPayments[Amount]+0,0)))</f>
      </c>
      <c r="M33" s="229">
        <f t="shared" si="0"/>
      </c>
      <c r="N33" s="230">
        <f t="shared" si="1"/>
      </c>
      <c r="O33" s="3"/>
      <c r="P33" s="3"/>
    </row>
    <row r="34" ht="16.8" customHeight="1" spans="1:16" x14ac:dyDescent="0.25">
      <c r="A34" s="3"/>
      <c r="B34" s="221"/>
      <c r="C34" s="222"/>
      <c r="D34" s="222"/>
      <c r="E34" s="223"/>
      <c r="F34" s="222"/>
      <c r="G34" s="224"/>
      <c r="H34" s="225"/>
      <c r="I34" s="3"/>
      <c r="J34" s="226"/>
      <c r="K34" s="227">
        <f t="array" ref="K34">IF($J34="","",SUMPRODUCT((TRIM(tblLines[Party (Name)])=$J34)*IFERROR(tblLines[Amount]+0,0)))</f>
      </c>
      <c r="L34" s="228">
        <f t="array" ref="L34">IF($J34="","",SUMPRODUCT((TRIM(tblPayments[Party (Name)])=$J34)*IFERROR(tblPayments[Amount]+0,0)))</f>
      </c>
      <c r="M34" s="229">
        <f t="shared" si="0"/>
      </c>
      <c r="N34" s="230">
        <f t="shared" si="1"/>
      </c>
      <c r="O34" s="3"/>
      <c r="P34" s="3"/>
    </row>
    <row r="35" ht="16.8" customHeight="1" spans="1:16" x14ac:dyDescent="0.25">
      <c r="A35" s="3"/>
      <c r="B35" s="221"/>
      <c r="C35" s="222"/>
      <c r="D35" s="222"/>
      <c r="E35" s="223"/>
      <c r="F35" s="222"/>
      <c r="G35" s="224"/>
      <c r="H35" s="225"/>
      <c r="I35" s="3"/>
      <c r="J35" s="226"/>
      <c r="K35" s="227">
        <f t="array" ref="K35">IF($J35="","",SUMPRODUCT((TRIM(tblLines[Party (Name)])=$J35)*IFERROR(tblLines[Amount]+0,0)))</f>
      </c>
      <c r="L35" s="228">
        <f t="array" ref="L35">IF($J35="","",SUMPRODUCT((TRIM(tblPayments[Party (Name)])=$J35)*IFERROR(tblPayments[Amount]+0,0)))</f>
      </c>
      <c r="M35" s="229">
        <f t="shared" si="0"/>
      </c>
      <c r="N35" s="230">
        <f t="shared" si="1"/>
      </c>
      <c r="O35" s="3"/>
      <c r="P35" s="3"/>
    </row>
    <row r="36" ht="16.8" customHeight="1" spans="1:16" x14ac:dyDescent="0.25">
      <c r="A36" s="3"/>
      <c r="B36" s="221"/>
      <c r="C36" s="222"/>
      <c r="D36" s="222"/>
      <c r="E36" s="223"/>
      <c r="F36" s="222"/>
      <c r="G36" s="224"/>
      <c r="H36" s="225"/>
      <c r="I36" s="3"/>
      <c r="J36" s="226"/>
      <c r="K36" s="227">
        <f t="array" ref="K36">IF($J36="","",SUMPRODUCT((TRIM(tblLines[Party (Name)])=$J36)*IFERROR(tblLines[Amount]+0,0)))</f>
      </c>
      <c r="L36" s="228">
        <f t="array" ref="L36">IF($J36="","",SUMPRODUCT((TRIM(tblPayments[Party (Name)])=$J36)*IFERROR(tblPayments[Amount]+0,0)))</f>
      </c>
      <c r="M36" s="229">
        <f t="shared" si="0"/>
      </c>
      <c r="N36" s="230">
        <f t="shared" si="1"/>
      </c>
      <c r="O36" s="3"/>
      <c r="P36" s="3"/>
    </row>
    <row r="37" ht="16.8" customHeight="1" spans="1:16" x14ac:dyDescent="0.25">
      <c r="A37" s="3"/>
      <c r="B37" s="221"/>
      <c r="C37" s="222"/>
      <c r="D37" s="222"/>
      <c r="E37" s="223"/>
      <c r="F37" s="222"/>
      <c r="G37" s="224"/>
      <c r="H37" s="225"/>
      <c r="I37" s="3"/>
      <c r="J37" s="226"/>
      <c r="K37" s="227">
        <f t="array" ref="K37">IF($J37="","",SUMPRODUCT((TRIM(tblLines[Party (Name)])=$J37)*IFERROR(tblLines[Amount]+0,0)))</f>
      </c>
      <c r="L37" s="228">
        <f t="array" ref="L37">IF($J37="","",SUMPRODUCT((TRIM(tblPayments[Party (Name)])=$J37)*IFERROR(tblPayments[Amount]+0,0)))</f>
      </c>
      <c r="M37" s="229">
        <f t="shared" si="0"/>
      </c>
      <c r="N37" s="230">
        <f t="shared" si="1"/>
      </c>
      <c r="O37" s="3"/>
      <c r="P37" s="3"/>
    </row>
    <row r="38" ht="16.8" customHeight="1" spans="1:16" x14ac:dyDescent="0.25">
      <c r="A38" s="3"/>
      <c r="B38" s="221"/>
      <c r="C38" s="222"/>
      <c r="D38" s="222"/>
      <c r="E38" s="223"/>
      <c r="F38" s="222"/>
      <c r="G38" s="224"/>
      <c r="H38" s="225"/>
      <c r="I38" s="3"/>
      <c r="J38" s="226"/>
      <c r="K38" s="227">
        <f t="array" ref="K38">IF($J38="","",SUMPRODUCT((TRIM(tblLines[Party (Name)])=$J38)*IFERROR(tblLines[Amount]+0,0)))</f>
      </c>
      <c r="L38" s="228">
        <f t="array" ref="L38">IF($J38="","",SUMPRODUCT((TRIM(tblPayments[Party (Name)])=$J38)*IFERROR(tblPayments[Amount]+0,0)))</f>
      </c>
      <c r="M38" s="229">
        <f t="shared" si="0"/>
      </c>
      <c r="N38" s="230">
        <f t="shared" si="1"/>
      </c>
      <c r="O38" s="3"/>
      <c r="P38" s="3"/>
    </row>
    <row r="39" ht="16.8" customHeight="1" spans="1:16" x14ac:dyDescent="0.25">
      <c r="A39" s="3"/>
      <c r="B39" s="221"/>
      <c r="C39" s="222"/>
      <c r="D39" s="222"/>
      <c r="E39" s="223"/>
      <c r="F39" s="222"/>
      <c r="G39" s="224"/>
      <c r="H39" s="225"/>
      <c r="I39" s="3"/>
      <c r="J39" s="226"/>
      <c r="K39" s="227">
        <f t="array" ref="K39">IF($J39="","",SUMPRODUCT((TRIM(tblLines[Party (Name)])=$J39)*IFERROR(tblLines[Amount]+0,0)))</f>
      </c>
      <c r="L39" s="228">
        <f t="array" ref="L39">IF($J39="","",SUMPRODUCT((TRIM(tblPayments[Party (Name)])=$J39)*IFERROR(tblPayments[Amount]+0,0)))</f>
      </c>
      <c r="M39" s="229">
        <f t="shared" si="0"/>
      </c>
      <c r="N39" s="230">
        <f t="shared" si="1"/>
      </c>
      <c r="O39" s="3"/>
      <c r="P39" s="3"/>
    </row>
    <row r="40" ht="16.8" customHeight="1" spans="1:16" x14ac:dyDescent="0.25">
      <c r="A40" s="3"/>
      <c r="B40" s="221"/>
      <c r="C40" s="222"/>
      <c r="D40" s="222"/>
      <c r="E40" s="223"/>
      <c r="F40" s="222"/>
      <c r="G40" s="224"/>
      <c r="H40" s="225"/>
      <c r="I40" s="3"/>
      <c r="J40" s="226"/>
      <c r="K40" s="227">
        <f t="array" ref="K40">IF($J40="","",SUMPRODUCT((TRIM(tblLines[Party (Name)])=$J40)*IFERROR(tblLines[Amount]+0,0)))</f>
      </c>
      <c r="L40" s="228">
        <f t="array" ref="L40">IF($J40="","",SUMPRODUCT((TRIM(tblPayments[Party (Name)])=$J40)*IFERROR(tblPayments[Amount]+0,0)))</f>
      </c>
      <c r="M40" s="229">
        <f t="shared" si="0"/>
      </c>
      <c r="N40" s="230">
        <f t="shared" si="1"/>
      </c>
      <c r="O40" s="3"/>
      <c r="P40" s="3"/>
    </row>
    <row r="41" ht="16.8" customHeight="1" spans="1:16" x14ac:dyDescent="0.25">
      <c r="A41" s="3"/>
      <c r="B41" s="221"/>
      <c r="C41" s="222"/>
      <c r="D41" s="222"/>
      <c r="E41" s="223"/>
      <c r="F41" s="222"/>
      <c r="G41" s="224"/>
      <c r="H41" s="225"/>
      <c r="I41" s="3"/>
      <c r="J41" s="226"/>
      <c r="K41" s="227">
        <f t="array" ref="K41">IF($J41="","",SUMPRODUCT((TRIM(tblLines[Party (Name)])=$J41)*IFERROR(tblLines[Amount]+0,0)))</f>
      </c>
      <c r="L41" s="228">
        <f t="array" ref="L41">IF($J41="","",SUMPRODUCT((TRIM(tblPayments[Party (Name)])=$J41)*IFERROR(tblPayments[Amount]+0,0)))</f>
      </c>
      <c r="M41" s="229">
        <f t="shared" si="0"/>
      </c>
      <c r="N41" s="230">
        <f t="shared" si="1"/>
      </c>
      <c r="O41" s="3"/>
      <c r="P41" s="3"/>
    </row>
    <row r="42" ht="16.8" customHeight="1" spans="1:16" x14ac:dyDescent="0.25">
      <c r="A42" s="3"/>
      <c r="B42" s="221"/>
      <c r="C42" s="222"/>
      <c r="D42" s="222"/>
      <c r="E42" s="223"/>
      <c r="F42" s="222"/>
      <c r="G42" s="224"/>
      <c r="H42" s="225"/>
      <c r="I42" s="3"/>
      <c r="J42" s="226"/>
      <c r="K42" s="227">
        <f t="array" ref="K42">IF($J42="","",SUMPRODUCT((TRIM(tblLines[Party (Name)])=$J42)*IFERROR(tblLines[Amount]+0,0)))</f>
      </c>
      <c r="L42" s="228">
        <f t="array" ref="L42">IF($J42="","",SUMPRODUCT((TRIM(tblPayments[Party (Name)])=$J42)*IFERROR(tblPayments[Amount]+0,0)))</f>
      </c>
      <c r="M42" s="229">
        <f t="shared" si="0"/>
      </c>
      <c r="N42" s="230">
        <f t="shared" si="1"/>
      </c>
      <c r="O42" s="3"/>
      <c r="P42" s="3"/>
    </row>
    <row r="43" ht="16.8" customHeight="1" spans="1:16" x14ac:dyDescent="0.25">
      <c r="A43" s="3"/>
      <c r="B43" s="221"/>
      <c r="C43" s="222"/>
      <c r="D43" s="222"/>
      <c r="E43" s="223"/>
      <c r="F43" s="222"/>
      <c r="G43" s="224"/>
      <c r="H43" s="225"/>
      <c r="I43" s="3"/>
      <c r="J43" s="226"/>
      <c r="K43" s="227">
        <f t="array" ref="K43">IF($J43="","",SUMPRODUCT((TRIM(tblLines[Party (Name)])=$J43)*IFERROR(tblLines[Amount]+0,0)))</f>
      </c>
      <c r="L43" s="228">
        <f t="array" ref="L43">IF($J43="","",SUMPRODUCT((TRIM(tblPayments[Party (Name)])=$J43)*IFERROR(tblPayments[Amount]+0,0)))</f>
      </c>
      <c r="M43" s="229">
        <f t="shared" si="0"/>
      </c>
      <c r="N43" s="230">
        <f t="shared" si="1"/>
      </c>
      <c r="O43" s="3"/>
      <c r="P43" s="3"/>
    </row>
    <row r="44" ht="16.8" customHeight="1" spans="1:16" x14ac:dyDescent="0.25">
      <c r="A44" s="3"/>
      <c r="B44" s="221"/>
      <c r="C44" s="222"/>
      <c r="D44" s="222"/>
      <c r="E44" s="223"/>
      <c r="F44" s="222"/>
      <c r="G44" s="224"/>
      <c r="H44" s="225"/>
      <c r="I44" s="3"/>
      <c r="J44" s="226"/>
      <c r="K44" s="227">
        <f t="array" ref="K44">IF($J44="","",SUMPRODUCT((TRIM(tblLines[Party (Name)])=$J44)*IFERROR(tblLines[Amount]+0,0)))</f>
      </c>
      <c r="L44" s="228">
        <f t="array" ref="L44">IF($J44="","",SUMPRODUCT((TRIM(tblPayments[Party (Name)])=$J44)*IFERROR(tblPayments[Amount]+0,0)))</f>
      </c>
      <c r="M44" s="229">
        <f t="shared" si="0"/>
      </c>
      <c r="N44" s="230">
        <f t="shared" si="1"/>
      </c>
      <c r="O44" s="3"/>
      <c r="P44" s="3"/>
    </row>
    <row r="45" ht="16.8" customHeight="1" spans="1:16" x14ac:dyDescent="0.25">
      <c r="A45" s="3"/>
      <c r="B45" s="221"/>
      <c r="C45" s="222"/>
      <c r="D45" s="222"/>
      <c r="E45" s="223"/>
      <c r="F45" s="222"/>
      <c r="G45" s="224"/>
      <c r="H45" s="225"/>
      <c r="I45" s="3"/>
      <c r="J45" s="226"/>
      <c r="K45" s="227">
        <f t="array" ref="K45">IF($J45="","",SUMPRODUCT((TRIM(tblLines[Party (Name)])=$J45)*IFERROR(tblLines[Amount]+0,0)))</f>
      </c>
      <c r="L45" s="228">
        <f t="array" ref="L45">IF($J45="","",SUMPRODUCT((TRIM(tblPayments[Party (Name)])=$J45)*IFERROR(tblPayments[Amount]+0,0)))</f>
      </c>
      <c r="M45" s="229">
        <f t="shared" si="0"/>
      </c>
      <c r="N45" s="230">
        <f t="shared" si="1"/>
      </c>
      <c r="O45" s="3"/>
      <c r="P45" s="3"/>
    </row>
    <row r="46" ht="16.8" customHeight="1" spans="1:16" x14ac:dyDescent="0.25">
      <c r="A46" s="3"/>
      <c r="B46" s="221"/>
      <c r="C46" s="222"/>
      <c r="D46" s="222"/>
      <c r="E46" s="223"/>
      <c r="F46" s="222"/>
      <c r="G46" s="224"/>
      <c r="H46" s="225"/>
      <c r="I46" s="3"/>
      <c r="J46" s="226"/>
      <c r="K46" s="227">
        <f t="array" ref="K46">IF($J46="","",SUMPRODUCT((TRIM(tblLines[Party (Name)])=$J46)*IFERROR(tblLines[Amount]+0,0)))</f>
      </c>
      <c r="L46" s="228">
        <f t="array" ref="L46">IF($J46="","",SUMPRODUCT((TRIM(tblPayments[Party (Name)])=$J46)*IFERROR(tblPayments[Amount]+0,0)))</f>
      </c>
      <c r="M46" s="229">
        <f t="shared" si="0"/>
      </c>
      <c r="N46" s="230">
        <f t="shared" si="1"/>
      </c>
      <c r="O46" s="3"/>
      <c r="P46" s="3"/>
    </row>
    <row r="47" ht="16.8" customHeight="1" spans="1:16" x14ac:dyDescent="0.25">
      <c r="A47" s="3"/>
      <c r="B47" s="221"/>
      <c r="C47" s="222"/>
      <c r="D47" s="222"/>
      <c r="E47" s="223"/>
      <c r="F47" s="222"/>
      <c r="G47" s="224"/>
      <c r="H47" s="225"/>
      <c r="I47" s="3"/>
      <c r="J47" s="226"/>
      <c r="K47" s="227">
        <f t="array" ref="K47">IF($J47="","",SUMPRODUCT((TRIM(tblLines[Party (Name)])=$J47)*IFERROR(tblLines[Amount]+0,0)))</f>
      </c>
      <c r="L47" s="228">
        <f t="array" ref="L47">IF($J47="","",SUMPRODUCT((TRIM(tblPayments[Party (Name)])=$J47)*IFERROR(tblPayments[Amount]+0,0)))</f>
      </c>
      <c r="M47" s="229">
        <f t="shared" si="0"/>
      </c>
      <c r="N47" s="230">
        <f t="shared" si="1"/>
      </c>
      <c r="O47" s="3"/>
      <c r="P47" s="3"/>
    </row>
    <row r="48" ht="16.8" customHeight="1" spans="1:16" x14ac:dyDescent="0.25">
      <c r="A48" s="3"/>
      <c r="B48" s="221"/>
      <c r="C48" s="222"/>
      <c r="D48" s="222"/>
      <c r="E48" s="223"/>
      <c r="F48" s="222"/>
      <c r="G48" s="224"/>
      <c r="H48" s="225"/>
      <c r="I48" s="3"/>
      <c r="J48" s="226"/>
      <c r="K48" s="227">
        <f t="array" ref="K48">IF($J48="","",SUMPRODUCT((TRIM(tblLines[Party (Name)])=$J48)*IFERROR(tblLines[Amount]+0,0)))</f>
      </c>
      <c r="L48" s="228">
        <f t="array" ref="L48">IF($J48="","",SUMPRODUCT((TRIM(tblPayments[Party (Name)])=$J48)*IFERROR(tblPayments[Amount]+0,0)))</f>
      </c>
      <c r="M48" s="229">
        <f t="shared" si="0"/>
      </c>
      <c r="N48" s="230">
        <f t="shared" si="1"/>
      </c>
      <c r="O48" s="3"/>
      <c r="P48" s="3"/>
    </row>
    <row r="49" ht="16.8" customHeight="1" spans="1:16" x14ac:dyDescent="0.25">
      <c r="A49" s="3"/>
      <c r="B49" s="221"/>
      <c r="C49" s="222"/>
      <c r="D49" s="222"/>
      <c r="E49" s="223"/>
      <c r="F49" s="222"/>
      <c r="G49" s="224"/>
      <c r="H49" s="225"/>
      <c r="I49" s="3"/>
      <c r="J49" s="226"/>
      <c r="K49" s="227">
        <f t="array" ref="K49">IF($J49="","",SUMPRODUCT((TRIM(tblLines[Party (Name)])=$J49)*IFERROR(tblLines[Amount]+0,0)))</f>
      </c>
      <c r="L49" s="228">
        <f t="array" ref="L49">IF($J49="","",SUMPRODUCT((TRIM(tblPayments[Party (Name)])=$J49)*IFERROR(tblPayments[Amount]+0,0)))</f>
      </c>
      <c r="M49" s="229">
        <f t="shared" si="0"/>
      </c>
      <c r="N49" s="230">
        <f t="shared" si="1"/>
      </c>
      <c r="O49" s="3"/>
      <c r="P49" s="3"/>
    </row>
    <row r="50" ht="16.8" customHeight="1" spans="1:16" x14ac:dyDescent="0.25">
      <c r="A50" s="3"/>
      <c r="B50" s="221"/>
      <c r="C50" s="222"/>
      <c r="D50" s="222"/>
      <c r="E50" s="223"/>
      <c r="F50" s="222"/>
      <c r="G50" s="224"/>
      <c r="H50" s="225"/>
      <c r="I50" s="3"/>
      <c r="J50" s="226"/>
      <c r="K50" s="227">
        <f t="array" ref="K50">IF($J50="","",SUMPRODUCT((TRIM(tblLines[Party (Name)])=$J50)*IFERROR(tblLines[Amount]+0,0)))</f>
      </c>
      <c r="L50" s="228">
        <f t="array" ref="L50">IF($J50="","",SUMPRODUCT((TRIM(tblPayments[Party (Name)])=$J50)*IFERROR(tblPayments[Amount]+0,0)))</f>
      </c>
      <c r="M50" s="229">
        <f t="shared" si="0"/>
      </c>
      <c r="N50" s="230">
        <f t="shared" si="1"/>
      </c>
      <c r="O50" s="3"/>
      <c r="P50" s="3"/>
    </row>
    <row r="51" ht="16.8" customHeight="1" spans="1:16" x14ac:dyDescent="0.25">
      <c r="A51" s="3"/>
      <c r="B51" s="221"/>
      <c r="C51" s="222"/>
      <c r="D51" s="222"/>
      <c r="E51" s="223"/>
      <c r="F51" s="222"/>
      <c r="G51" s="224"/>
      <c r="H51" s="225"/>
      <c r="I51" s="3"/>
      <c r="J51" s="226"/>
      <c r="K51" s="227">
        <f t="array" ref="K51">IF($J51="","",SUMPRODUCT((TRIM(tblLines[Party (Name)])=$J51)*IFERROR(tblLines[Amount]+0,0)))</f>
      </c>
      <c r="L51" s="228">
        <f t="array" ref="L51">IF($J51="","",SUMPRODUCT((TRIM(tblPayments[Party (Name)])=$J51)*IFERROR(tblPayments[Amount]+0,0)))</f>
      </c>
      <c r="M51" s="229">
        <f t="shared" si="0"/>
      </c>
      <c r="N51" s="230">
        <f t="shared" si="1"/>
      </c>
      <c r="O51" s="3"/>
      <c r="P51" s="3"/>
    </row>
    <row r="52" ht="16.8" customHeight="1" spans="1:16" x14ac:dyDescent="0.25">
      <c r="A52" s="3"/>
      <c r="B52" s="221"/>
      <c r="C52" s="222"/>
      <c r="D52" s="222"/>
      <c r="E52" s="223"/>
      <c r="F52" s="222"/>
      <c r="G52" s="224"/>
      <c r="H52" s="225"/>
      <c r="I52" s="3"/>
      <c r="J52" s="226"/>
      <c r="K52" s="227">
        <f t="array" ref="K52">IF($J52="","",SUMPRODUCT((TRIM(tblLines[Party (Name)])=$J52)*IFERROR(tblLines[Amount]+0,0)))</f>
      </c>
      <c r="L52" s="228">
        <f t="array" ref="L52">IF($J52="","",SUMPRODUCT((TRIM(tblPayments[Party (Name)])=$J52)*IFERROR(tblPayments[Amount]+0,0)))</f>
      </c>
      <c r="M52" s="229">
        <f t="shared" si="0"/>
      </c>
      <c r="N52" s="230">
        <f t="shared" si="1"/>
      </c>
      <c r="O52" s="3"/>
      <c r="P52" s="3"/>
    </row>
    <row r="53" ht="16.8" customHeight="1" spans="1:16" x14ac:dyDescent="0.25">
      <c r="A53" s="3"/>
      <c r="B53" s="221"/>
      <c r="C53" s="222"/>
      <c r="D53" s="222"/>
      <c r="E53" s="223"/>
      <c r="F53" s="222"/>
      <c r="G53" s="224"/>
      <c r="H53" s="225"/>
      <c r="I53" s="3"/>
      <c r="J53" s="226"/>
      <c r="K53" s="227">
        <f t="array" ref="K53">IF($J53="","",SUMPRODUCT((TRIM(tblLines[Party (Name)])=$J53)*IFERROR(tblLines[Amount]+0,0)))</f>
      </c>
      <c r="L53" s="228">
        <f t="array" ref="L53">IF($J53="","",SUMPRODUCT((TRIM(tblPayments[Party (Name)])=$J53)*IFERROR(tblPayments[Amount]+0,0)))</f>
      </c>
      <c r="M53" s="229">
        <f t="shared" si="0"/>
      </c>
      <c r="N53" s="230">
        <f t="shared" si="1"/>
      </c>
      <c r="O53" s="3"/>
      <c r="P53" s="3"/>
    </row>
    <row r="54" ht="16.8" customHeight="1" spans="1:16" x14ac:dyDescent="0.25">
      <c r="A54" s="3"/>
      <c r="B54" s="221"/>
      <c r="C54" s="222"/>
      <c r="D54" s="222"/>
      <c r="E54" s="223"/>
      <c r="F54" s="222"/>
      <c r="G54" s="224"/>
      <c r="H54" s="225"/>
      <c r="I54" s="3"/>
      <c r="J54" s="226"/>
      <c r="K54" s="227">
        <f t="array" ref="K54">IF($J54="","",SUMPRODUCT((TRIM(tblLines[Party (Name)])=$J54)*IFERROR(tblLines[Amount]+0,0)))</f>
      </c>
      <c r="L54" s="228">
        <f t="array" ref="L54">IF($J54="","",SUMPRODUCT((TRIM(tblPayments[Party (Name)])=$J54)*IFERROR(tblPayments[Amount]+0,0)))</f>
      </c>
      <c r="M54" s="229">
        <f t="shared" si="0"/>
      </c>
      <c r="N54" s="230">
        <f t="shared" si="1"/>
      </c>
      <c r="O54" s="3"/>
      <c r="P54" s="3"/>
    </row>
    <row r="55" ht="16.8" customHeight="1" spans="1:16" x14ac:dyDescent="0.25">
      <c r="A55" s="3"/>
      <c r="B55" s="221"/>
      <c r="C55" s="222"/>
      <c r="D55" s="222"/>
      <c r="E55" s="223"/>
      <c r="F55" s="222"/>
      <c r="G55" s="224"/>
      <c r="H55" s="225"/>
      <c r="I55" s="3"/>
      <c r="J55" s="226"/>
      <c r="K55" s="227">
        <f t="array" ref="K55">IF($J55="","",SUMPRODUCT((TRIM(tblLines[Party (Name)])=$J55)*IFERROR(tblLines[Amount]+0,0)))</f>
      </c>
      <c r="L55" s="228">
        <f t="array" ref="L55">IF($J55="","",SUMPRODUCT((TRIM(tblPayments[Party (Name)])=$J55)*IFERROR(tblPayments[Amount]+0,0)))</f>
      </c>
      <c r="M55" s="229">
        <f t="shared" si="0"/>
      </c>
      <c r="N55" s="230">
        <f t="shared" si="1"/>
      </c>
      <c r="O55" s="3"/>
      <c r="P55" s="3"/>
    </row>
    <row r="56" ht="16.8" customHeight="1" spans="1:16" x14ac:dyDescent="0.25">
      <c r="A56" s="3"/>
      <c r="B56" s="221"/>
      <c r="C56" s="222"/>
      <c r="D56" s="222"/>
      <c r="E56" s="223"/>
      <c r="F56" s="222"/>
      <c r="G56" s="224"/>
      <c r="H56" s="225"/>
      <c r="I56" s="3"/>
      <c r="J56" s="226"/>
      <c r="K56" s="227">
        <f t="array" ref="K56">IF($J56="","",SUMPRODUCT((TRIM(tblLines[Party (Name)])=$J56)*IFERROR(tblLines[Amount]+0,0)))</f>
      </c>
      <c r="L56" s="228">
        <f t="array" ref="L56">IF($J56="","",SUMPRODUCT((TRIM(tblPayments[Party (Name)])=$J56)*IFERROR(tblPayments[Amount]+0,0)))</f>
      </c>
      <c r="M56" s="229">
        <f t="shared" si="0"/>
      </c>
      <c r="N56" s="230">
        <f t="shared" si="1"/>
      </c>
      <c r="O56" s="3"/>
      <c r="P56" s="3"/>
    </row>
    <row r="57" ht="16.8" customHeight="1" spans="1:16" x14ac:dyDescent="0.25">
      <c r="A57" s="3"/>
      <c r="B57" s="221"/>
      <c r="C57" s="222"/>
      <c r="D57" s="222"/>
      <c r="E57" s="223"/>
      <c r="F57" s="222"/>
      <c r="G57" s="224"/>
      <c r="H57" s="225"/>
      <c r="I57" s="3"/>
      <c r="J57" s="226"/>
      <c r="K57" s="227">
        <f t="array" ref="K57">IF($J57="","",SUMPRODUCT((TRIM(tblLines[Party (Name)])=$J57)*IFERROR(tblLines[Amount]+0,0)))</f>
      </c>
      <c r="L57" s="228">
        <f t="array" ref="L57">IF($J57="","",SUMPRODUCT((TRIM(tblPayments[Party (Name)])=$J57)*IFERROR(tblPayments[Amount]+0,0)))</f>
      </c>
      <c r="M57" s="229">
        <f t="shared" si="0"/>
      </c>
      <c r="N57" s="230">
        <f t="shared" si="1"/>
      </c>
      <c r="O57" s="3"/>
      <c r="P57" s="3"/>
    </row>
    <row r="58" ht="16.8" customHeight="1" spans="1:16" x14ac:dyDescent="0.25">
      <c r="A58" s="3"/>
      <c r="B58" s="221"/>
      <c r="C58" s="222"/>
      <c r="D58" s="222"/>
      <c r="E58" s="223"/>
      <c r="F58" s="222"/>
      <c r="G58" s="224"/>
      <c r="H58" s="225"/>
      <c r="I58" s="3"/>
      <c r="J58" s="226"/>
      <c r="K58" s="227">
        <f t="array" ref="K58">IF($J58="","",SUMPRODUCT((TRIM(tblLines[Party (Name)])=$J58)*IFERROR(tblLines[Amount]+0,0)))</f>
      </c>
      <c r="L58" s="228">
        <f t="array" ref="L58">IF($J58="","",SUMPRODUCT((TRIM(tblPayments[Party (Name)])=$J58)*IFERROR(tblPayments[Amount]+0,0)))</f>
      </c>
      <c r="M58" s="229">
        <f t="shared" si="0"/>
      </c>
      <c r="N58" s="230">
        <f t="shared" si="1"/>
      </c>
      <c r="O58" s="3"/>
      <c r="P58" s="3"/>
    </row>
    <row r="59" ht="16.8" customHeight="1" spans="1:16" x14ac:dyDescent="0.25">
      <c r="A59" s="3"/>
      <c r="B59" s="221"/>
      <c r="C59" s="222"/>
      <c r="D59" s="222"/>
      <c r="E59" s="223"/>
      <c r="F59" s="222"/>
      <c r="G59" s="224"/>
      <c r="H59" s="225"/>
      <c r="I59" s="3"/>
      <c r="J59" s="226"/>
      <c r="K59" s="227">
        <f t="array" ref="K59">IF($J59="","",SUMPRODUCT((TRIM(tblLines[Party (Name)])=$J59)*IFERROR(tblLines[Amount]+0,0)))</f>
      </c>
      <c r="L59" s="228">
        <f t="array" ref="L59">IF($J59="","",SUMPRODUCT((TRIM(tblPayments[Party (Name)])=$J59)*IFERROR(tblPayments[Amount]+0,0)))</f>
      </c>
      <c r="M59" s="229">
        <f t="shared" si="0"/>
      </c>
      <c r="N59" s="230">
        <f t="shared" si="1"/>
      </c>
      <c r="O59" s="3"/>
      <c r="P59" s="3"/>
    </row>
    <row r="60" ht="16.8" customHeight="1" spans="1:16" x14ac:dyDescent="0.25">
      <c r="A60" s="3"/>
      <c r="B60" s="221"/>
      <c r="C60" s="222"/>
      <c r="D60" s="222"/>
      <c r="E60" s="223"/>
      <c r="F60" s="222"/>
      <c r="G60" s="224"/>
      <c r="H60" s="225"/>
      <c r="I60" s="3"/>
      <c r="J60" s="226"/>
      <c r="K60" s="227">
        <f t="array" ref="K60">IF($J60="","",SUMPRODUCT((TRIM(tblLines[Party (Name)])=$J60)*IFERROR(tblLines[Amount]+0,0)))</f>
      </c>
      <c r="L60" s="228">
        <f t="array" ref="L60">IF($J60="","",SUMPRODUCT((TRIM(tblPayments[Party (Name)])=$J60)*IFERROR(tblPayments[Amount]+0,0)))</f>
      </c>
      <c r="M60" s="229">
        <f t="shared" si="0"/>
      </c>
      <c r="N60" s="230">
        <f t="shared" si="1"/>
      </c>
      <c r="O60" s="3"/>
      <c r="P60" s="3"/>
    </row>
    <row r="61" ht="16.8" customHeight="1" spans="1:16" x14ac:dyDescent="0.25">
      <c r="A61" s="3"/>
      <c r="B61" s="221"/>
      <c r="C61" s="222"/>
      <c r="D61" s="222"/>
      <c r="E61" s="223"/>
      <c r="F61" s="222"/>
      <c r="G61" s="224"/>
      <c r="H61" s="225"/>
      <c r="I61" s="3"/>
      <c r="J61" s="3"/>
      <c r="K61" s="3"/>
      <c r="L61" s="3"/>
      <c r="M61" s="3"/>
      <c r="N61" s="3"/>
      <c r="O61" s="3"/>
      <c r="P61" s="3"/>
    </row>
    <row r="62" ht="16.8" customHeight="1" spans="1:16" x14ac:dyDescent="0.25">
      <c r="A62" s="3"/>
      <c r="B62" s="221"/>
      <c r="C62" s="222"/>
      <c r="D62" s="222"/>
      <c r="E62" s="223"/>
      <c r="F62" s="222"/>
      <c r="G62" s="224"/>
      <c r="H62" s="225"/>
      <c r="I62" s="3"/>
      <c r="J62" s="231" t="s">
        <v>57</v>
      </c>
      <c r="K62" s="232">
        <f>SUM(K21:K60)</f>
        <v>193457434</v>
      </c>
      <c r="L62" s="232">
        <f>SUM(L21:L60)</f>
        <v>0</v>
      </c>
      <c r="M62" s="232">
        <f>SUM(M21:M60)</f>
        <v>193457434</v>
      </c>
      <c r="N62" s="233">
        <f>IF(K62=0,"",L62/K62)</f>
        <v>0</v>
      </c>
      <c r="O62" s="3"/>
      <c r="P62" s="3"/>
    </row>
    <row r="63" ht="16.8" customHeight="1" spans="1:16" x14ac:dyDescent="0.25">
      <c r="A63" s="3"/>
      <c r="B63" s="221"/>
      <c r="C63" s="222"/>
      <c r="D63" s="222"/>
      <c r="E63" s="223"/>
      <c r="F63" s="222"/>
      <c r="G63" s="224"/>
      <c r="H63" s="225"/>
      <c r="I63" s="3"/>
      <c r="J63" s="3"/>
      <c r="K63" s="3"/>
      <c r="L63" s="3"/>
      <c r="M63" s="3"/>
      <c r="N63" s="3"/>
      <c r="O63" s="3"/>
      <c r="P63" s="3"/>
    </row>
    <row r="64" ht="16.8" customHeight="1" spans="1:16" x14ac:dyDescent="0.25">
      <c r="A64" s="3"/>
      <c r="B64" s="221"/>
      <c r="C64" s="222"/>
      <c r="D64" s="222"/>
      <c r="E64" s="223"/>
      <c r="F64" s="222"/>
      <c r="G64" s="224"/>
      <c r="H64" s="225"/>
      <c r="I64" s="3"/>
      <c r="J64" s="3"/>
      <c r="K64" s="3"/>
      <c r="L64" s="3"/>
      <c r="M64" s="3"/>
      <c r="N64" s="3"/>
      <c r="O64" s="3"/>
      <c r="P64" s="3"/>
    </row>
    <row r="65" ht="16.8" customHeight="1" spans="1:16" x14ac:dyDescent="0.25">
      <c r="A65" s="3"/>
      <c r="B65" s="221"/>
      <c r="C65" s="222"/>
      <c r="D65" s="222"/>
      <c r="E65" s="223"/>
      <c r="F65" s="222"/>
      <c r="G65" s="224"/>
      <c r="H65" s="225"/>
      <c r="I65" s="3"/>
      <c r="J65" s="3"/>
      <c r="K65" s="3"/>
      <c r="L65" s="3"/>
      <c r="M65" s="3"/>
      <c r="N65" s="3"/>
      <c r="O65" s="3"/>
      <c r="P65" s="3"/>
    </row>
    <row r="66" ht="16.8" customHeight="1" spans="1:16" x14ac:dyDescent="0.25">
      <c r="A66" s="3"/>
      <c r="B66" s="221"/>
      <c r="C66" s="222"/>
      <c r="D66" s="222"/>
      <c r="E66" s="223"/>
      <c r="F66" s="222"/>
      <c r="G66" s="224"/>
      <c r="H66" s="225"/>
      <c r="I66" s="3"/>
      <c r="J66" s="3"/>
      <c r="K66" s="3"/>
      <c r="L66" s="3"/>
      <c r="M66" s="3"/>
      <c r="N66" s="3"/>
      <c r="O66" s="3"/>
      <c r="P66" s="3"/>
    </row>
    <row r="67" ht="16.8" customHeight="1" spans="1:16" x14ac:dyDescent="0.25">
      <c r="A67" s="3"/>
      <c r="B67" s="221"/>
      <c r="C67" s="222"/>
      <c r="D67" s="222"/>
      <c r="E67" s="223"/>
      <c r="F67" s="222"/>
      <c r="G67" s="224"/>
      <c r="H67" s="225"/>
      <c r="I67" s="3"/>
      <c r="J67" s="3"/>
      <c r="K67" s="3"/>
      <c r="L67" s="3"/>
      <c r="M67" s="3"/>
      <c r="N67" s="3"/>
      <c r="O67" s="3"/>
      <c r="P67" s="3"/>
    </row>
    <row r="68" ht="16.8" customHeight="1" spans="1:16" x14ac:dyDescent="0.25">
      <c r="A68" s="3"/>
      <c r="B68" s="221"/>
      <c r="C68" s="222"/>
      <c r="D68" s="222"/>
      <c r="E68" s="223"/>
      <c r="F68" s="222"/>
      <c r="G68" s="224"/>
      <c r="H68" s="225"/>
      <c r="I68" s="3"/>
      <c r="J68" s="3"/>
      <c r="K68" s="3"/>
      <c r="L68" s="3"/>
      <c r="M68" s="3"/>
      <c r="N68" s="3"/>
      <c r="O68" s="3"/>
      <c r="P68" s="3"/>
    </row>
    <row r="69" ht="16.8" customHeight="1" spans="1:16" x14ac:dyDescent="0.25">
      <c r="A69" s="3"/>
      <c r="B69" s="221"/>
      <c r="C69" s="222"/>
      <c r="D69" s="222"/>
      <c r="E69" s="223"/>
      <c r="F69" s="222"/>
      <c r="G69" s="224"/>
      <c r="H69" s="225"/>
      <c r="I69" s="3"/>
      <c r="J69" s="3"/>
      <c r="K69" s="3"/>
      <c r="L69" s="3"/>
      <c r="M69" s="3"/>
      <c r="N69" s="3"/>
      <c r="O69" s="3"/>
      <c r="P69" s="3"/>
    </row>
    <row r="70" ht="16.8" customHeight="1" spans="1:16" x14ac:dyDescent="0.25">
      <c r="A70" s="3"/>
      <c r="B70" s="221"/>
      <c r="C70" s="222"/>
      <c r="D70" s="222"/>
      <c r="E70" s="223"/>
      <c r="F70" s="222"/>
      <c r="G70" s="224"/>
      <c r="H70" s="225"/>
      <c r="I70" s="3"/>
      <c r="J70" s="3"/>
      <c r="K70" s="3"/>
      <c r="L70" s="3"/>
      <c r="M70" s="3"/>
      <c r="N70" s="3"/>
      <c r="O70" s="3"/>
      <c r="P70" s="3"/>
    </row>
    <row r="71" ht="16.8" customHeight="1" spans="1:16" x14ac:dyDescent="0.25">
      <c r="A71" s="3"/>
      <c r="B71" s="221"/>
      <c r="C71" s="222"/>
      <c r="D71" s="222"/>
      <c r="E71" s="223"/>
      <c r="F71" s="222"/>
      <c r="G71" s="224"/>
      <c r="H71" s="225"/>
      <c r="I71" s="3"/>
      <c r="J71" s="3"/>
      <c r="K71" s="3"/>
      <c r="L71" s="3"/>
      <c r="M71" s="3"/>
      <c r="N71" s="3"/>
      <c r="O71" s="3"/>
      <c r="P71" s="3"/>
    </row>
    <row r="72" ht="16.8" customHeight="1" spans="1:16" x14ac:dyDescent="0.25">
      <c r="A72" s="3"/>
      <c r="B72" s="221"/>
      <c r="C72" s="222"/>
      <c r="D72" s="222"/>
      <c r="E72" s="223"/>
      <c r="F72" s="222"/>
      <c r="G72" s="224"/>
      <c r="H72" s="225"/>
      <c r="I72" s="3"/>
      <c r="J72" s="3"/>
      <c r="K72" s="3"/>
      <c r="L72" s="3"/>
      <c r="M72" s="3"/>
      <c r="N72" s="3"/>
      <c r="O72" s="3"/>
      <c r="P72" s="3"/>
    </row>
    <row r="73" ht="16.8" customHeight="1" spans="1:16" x14ac:dyDescent="0.25">
      <c r="A73" s="3"/>
      <c r="B73" s="221"/>
      <c r="C73" s="222"/>
      <c r="D73" s="222"/>
      <c r="E73" s="223"/>
      <c r="F73" s="222"/>
      <c r="G73" s="224"/>
      <c r="H73" s="225"/>
      <c r="I73" s="3"/>
      <c r="J73" s="3"/>
      <c r="K73" s="3"/>
      <c r="L73" s="3"/>
      <c r="M73" s="3"/>
      <c r="N73" s="3"/>
      <c r="O73" s="3"/>
      <c r="P73" s="3"/>
    </row>
    <row r="74" ht="16.8" customHeight="1" spans="1:16" x14ac:dyDescent="0.25">
      <c r="A74" s="3"/>
      <c r="B74" s="221"/>
      <c r="C74" s="222"/>
      <c r="D74" s="222"/>
      <c r="E74" s="223"/>
      <c r="F74" s="222"/>
      <c r="G74" s="224"/>
      <c r="H74" s="225"/>
      <c r="I74" s="3"/>
      <c r="J74" s="3"/>
      <c r="K74" s="3"/>
      <c r="L74" s="3"/>
      <c r="M74" s="3"/>
      <c r="N74" s="3"/>
      <c r="O74" s="3"/>
      <c r="P74" s="3"/>
    </row>
    <row r="75" ht="16.8" customHeight="1" spans="1:16" x14ac:dyDescent="0.25">
      <c r="A75" s="3"/>
      <c r="B75" s="221"/>
      <c r="C75" s="222"/>
      <c r="D75" s="222"/>
      <c r="E75" s="223"/>
      <c r="F75" s="222"/>
      <c r="G75" s="224"/>
      <c r="H75" s="225"/>
      <c r="I75" s="3"/>
      <c r="J75" s="3"/>
      <c r="K75" s="3"/>
      <c r="L75" s="3"/>
      <c r="M75" s="3"/>
      <c r="N75" s="3"/>
      <c r="O75" s="3"/>
      <c r="P75" s="3"/>
    </row>
    <row r="76" ht="16.8" customHeight="1" spans="1:16" x14ac:dyDescent="0.25">
      <c r="A76" s="3"/>
      <c r="B76" s="221"/>
      <c r="C76" s="222"/>
      <c r="D76" s="222"/>
      <c r="E76" s="223"/>
      <c r="F76" s="222"/>
      <c r="G76" s="224"/>
      <c r="H76" s="225"/>
      <c r="I76" s="3"/>
      <c r="J76" s="3"/>
      <c r="K76" s="3"/>
      <c r="L76" s="3"/>
      <c r="M76" s="3"/>
      <c r="N76" s="3"/>
      <c r="O76" s="3"/>
      <c r="P76" s="3"/>
    </row>
    <row r="77" ht="16.8" customHeight="1" spans="1:16" x14ac:dyDescent="0.25">
      <c r="A77" s="3"/>
      <c r="B77" s="221"/>
      <c r="C77" s="222"/>
      <c r="D77" s="222"/>
      <c r="E77" s="223"/>
      <c r="F77" s="222"/>
      <c r="G77" s="224"/>
      <c r="H77" s="225"/>
      <c r="I77" s="3"/>
      <c r="J77" s="3"/>
      <c r="K77" s="3"/>
      <c r="L77" s="3"/>
      <c r="M77" s="3"/>
      <c r="N77" s="3"/>
      <c r="O77" s="3"/>
      <c r="P77" s="3"/>
    </row>
    <row r="78" ht="16.8" customHeight="1" spans="1:16" x14ac:dyDescent="0.25">
      <c r="A78" s="3"/>
      <c r="B78" s="221"/>
      <c r="C78" s="222"/>
      <c r="D78" s="222"/>
      <c r="E78" s="223"/>
      <c r="F78" s="222"/>
      <c r="G78" s="224"/>
      <c r="H78" s="225"/>
      <c r="I78" s="3"/>
      <c r="J78" s="3"/>
      <c r="K78" s="3"/>
      <c r="L78" s="3"/>
      <c r="M78" s="3"/>
      <c r="N78" s="3"/>
      <c r="O78" s="3"/>
      <c r="P78" s="3"/>
    </row>
    <row r="79" ht="16.8" customHeight="1" spans="1:16" x14ac:dyDescent="0.25">
      <c r="A79" s="3"/>
      <c r="B79" s="221"/>
      <c r="C79" s="222"/>
      <c r="D79" s="222"/>
      <c r="E79" s="223"/>
      <c r="F79" s="222"/>
      <c r="G79" s="224"/>
      <c r="H79" s="225"/>
      <c r="I79" s="3"/>
      <c r="J79" s="3"/>
      <c r="K79" s="3"/>
      <c r="L79" s="3"/>
      <c r="M79" s="3"/>
      <c r="N79" s="3"/>
      <c r="O79" s="3"/>
      <c r="P79" s="3"/>
    </row>
    <row r="80" ht="16.8" customHeight="1" spans="1:16" x14ac:dyDescent="0.25">
      <c r="A80" s="3"/>
      <c r="B80" s="221"/>
      <c r="C80" s="222"/>
      <c r="D80" s="222"/>
      <c r="E80" s="223"/>
      <c r="F80" s="222"/>
      <c r="G80" s="224"/>
      <c r="H80" s="225"/>
      <c r="I80" s="3"/>
      <c r="J80" s="3"/>
      <c r="K80" s="3"/>
      <c r="L80" s="3"/>
      <c r="M80" s="3"/>
      <c r="N80" s="3"/>
      <c r="O80" s="3"/>
      <c r="P80" s="3"/>
    </row>
    <row r="81" ht="16.8" customHeight="1" spans="1:16" x14ac:dyDescent="0.25">
      <c r="A81" s="3"/>
      <c r="B81" s="221"/>
      <c r="C81" s="222"/>
      <c r="D81" s="222"/>
      <c r="E81" s="223"/>
      <c r="F81" s="222"/>
      <c r="G81" s="224"/>
      <c r="H81" s="225"/>
      <c r="I81" s="3"/>
      <c r="J81" s="3"/>
      <c r="K81" s="3"/>
      <c r="L81" s="3"/>
      <c r="M81" s="3"/>
      <c r="N81" s="3"/>
      <c r="O81" s="3"/>
      <c r="P81" s="3"/>
    </row>
    <row r="82" ht="16.8" customHeight="1" spans="1:16" x14ac:dyDescent="0.25">
      <c r="A82" s="3"/>
      <c r="B82" s="221"/>
      <c r="C82" s="222"/>
      <c r="D82" s="222"/>
      <c r="E82" s="223"/>
      <c r="F82" s="222"/>
      <c r="G82" s="224"/>
      <c r="H82" s="225"/>
      <c r="I82" s="3"/>
      <c r="J82" s="3"/>
      <c r="K82" s="3"/>
      <c r="L82" s="3"/>
      <c r="M82" s="3"/>
      <c r="N82" s="3"/>
      <c r="O82" s="3"/>
      <c r="P82" s="3"/>
    </row>
    <row r="83" ht="16.8" customHeight="1" spans="1:16" x14ac:dyDescent="0.25">
      <c r="A83" s="3"/>
      <c r="B83" s="221"/>
      <c r="C83" s="222"/>
      <c r="D83" s="222"/>
      <c r="E83" s="223"/>
      <c r="F83" s="222"/>
      <c r="G83" s="224"/>
      <c r="H83" s="225"/>
      <c r="I83" s="3"/>
      <c r="J83" s="3"/>
      <c r="K83" s="3"/>
      <c r="L83" s="3"/>
      <c r="M83" s="3"/>
      <c r="N83" s="3"/>
      <c r="O83" s="3"/>
      <c r="P83" s="3"/>
    </row>
    <row r="84" ht="16.8" customHeight="1" spans="1:16" x14ac:dyDescent="0.25">
      <c r="A84" s="3"/>
      <c r="B84" s="221"/>
      <c r="C84" s="222"/>
      <c r="D84" s="222"/>
      <c r="E84" s="223"/>
      <c r="F84" s="222"/>
      <c r="G84" s="224"/>
      <c r="H84" s="225"/>
      <c r="I84" s="3"/>
      <c r="J84" s="3"/>
      <c r="K84" s="3"/>
      <c r="L84" s="3"/>
      <c r="M84" s="3"/>
      <c r="N84" s="3"/>
      <c r="O84" s="3"/>
      <c r="P84" s="3"/>
    </row>
    <row r="85" ht="16.8" customHeight="1" spans="1:16" x14ac:dyDescent="0.25">
      <c r="A85" s="3"/>
      <c r="B85" s="221"/>
      <c r="C85" s="222"/>
      <c r="D85" s="222"/>
      <c r="E85" s="223"/>
      <c r="F85" s="222"/>
      <c r="G85" s="224"/>
      <c r="H85" s="225"/>
      <c r="I85" s="3"/>
      <c r="J85" s="3"/>
      <c r="K85" s="3"/>
      <c r="L85" s="3"/>
      <c r="M85" s="3"/>
      <c r="N85" s="3"/>
      <c r="O85" s="3"/>
      <c r="P85" s="3"/>
    </row>
    <row r="86" ht="16.8" customHeight="1" spans="1:16" x14ac:dyDescent="0.25">
      <c r="A86" s="3"/>
      <c r="B86" s="221"/>
      <c r="C86" s="222"/>
      <c r="D86" s="222"/>
      <c r="E86" s="223"/>
      <c r="F86" s="222"/>
      <c r="G86" s="224"/>
      <c r="H86" s="225"/>
      <c r="I86" s="3"/>
      <c r="J86" s="3"/>
      <c r="K86" s="3"/>
      <c r="L86" s="3"/>
      <c r="M86" s="3"/>
      <c r="N86" s="3"/>
      <c r="O86" s="3"/>
      <c r="P86" s="3"/>
    </row>
    <row r="87" ht="16.8" customHeight="1" spans="1:16" x14ac:dyDescent="0.25">
      <c r="A87" s="3"/>
      <c r="B87" s="221"/>
      <c r="C87" s="222"/>
      <c r="D87" s="222"/>
      <c r="E87" s="223"/>
      <c r="F87" s="222"/>
      <c r="G87" s="224"/>
      <c r="H87" s="225"/>
      <c r="I87" s="3"/>
      <c r="J87" s="3"/>
      <c r="K87" s="3"/>
      <c r="L87" s="3"/>
      <c r="M87" s="3"/>
      <c r="N87" s="3"/>
      <c r="O87" s="3"/>
      <c r="P87" s="3"/>
    </row>
    <row r="88" ht="16.8" customHeight="1" spans="1:16" x14ac:dyDescent="0.25">
      <c r="A88" s="3"/>
      <c r="B88" s="221"/>
      <c r="C88" s="222"/>
      <c r="D88" s="222"/>
      <c r="E88" s="223"/>
      <c r="F88" s="222"/>
      <c r="G88" s="224"/>
      <c r="H88" s="225"/>
      <c r="I88" s="3"/>
      <c r="J88" s="3"/>
      <c r="K88" s="3"/>
      <c r="L88" s="3"/>
      <c r="M88" s="3"/>
      <c r="N88" s="3"/>
      <c r="O88" s="3"/>
      <c r="P88" s="3"/>
    </row>
    <row r="89" ht="16.8" customHeight="1" spans="1:16" x14ac:dyDescent="0.25">
      <c r="A89" s="3"/>
      <c r="B89" s="221"/>
      <c r="C89" s="222"/>
      <c r="D89" s="222"/>
      <c r="E89" s="223"/>
      <c r="F89" s="222"/>
      <c r="G89" s="224"/>
      <c r="H89" s="225"/>
      <c r="I89" s="3"/>
      <c r="J89" s="3"/>
      <c r="K89" s="3"/>
      <c r="L89" s="3"/>
      <c r="M89" s="3"/>
      <c r="N89" s="3"/>
      <c r="O89" s="3"/>
      <c r="P89" s="3"/>
    </row>
    <row r="90" ht="16.8" customHeight="1" spans="1:16" x14ac:dyDescent="0.25">
      <c r="A90" s="3"/>
      <c r="B90" s="221"/>
      <c r="C90" s="222"/>
      <c r="D90" s="222"/>
      <c r="E90" s="223"/>
      <c r="F90" s="222"/>
      <c r="G90" s="224"/>
      <c r="H90" s="225"/>
      <c r="I90" s="3"/>
      <c r="J90" s="3"/>
      <c r="K90" s="3"/>
      <c r="L90" s="3"/>
      <c r="M90" s="3"/>
      <c r="N90" s="3"/>
      <c r="O90" s="3"/>
      <c r="P90" s="3"/>
    </row>
    <row r="91" ht="16.8" customHeight="1" spans="1:16" x14ac:dyDescent="0.25">
      <c r="A91" s="3"/>
      <c r="B91" s="221"/>
      <c r="C91" s="222"/>
      <c r="D91" s="222"/>
      <c r="E91" s="223"/>
      <c r="F91" s="222"/>
      <c r="G91" s="224"/>
      <c r="H91" s="225"/>
      <c r="I91" s="3"/>
      <c r="J91" s="3"/>
      <c r="K91" s="3"/>
      <c r="L91" s="3"/>
      <c r="M91" s="3"/>
      <c r="N91" s="3"/>
      <c r="O91" s="3"/>
      <c r="P91" s="3"/>
    </row>
    <row r="92" ht="16.8" customHeight="1" spans="1:16" x14ac:dyDescent="0.25">
      <c r="A92" s="3"/>
      <c r="B92" s="221"/>
      <c r="C92" s="222"/>
      <c r="D92" s="222"/>
      <c r="E92" s="223"/>
      <c r="F92" s="222"/>
      <c r="G92" s="224"/>
      <c r="H92" s="225"/>
      <c r="I92" s="3"/>
      <c r="J92" s="3"/>
      <c r="K92" s="3"/>
      <c r="L92" s="3"/>
      <c r="M92" s="3"/>
      <c r="N92" s="3"/>
      <c r="O92" s="3"/>
      <c r="P92" s="3"/>
    </row>
    <row r="93" ht="16.8" customHeight="1" spans="1:16" x14ac:dyDescent="0.25">
      <c r="A93" s="3"/>
      <c r="B93" s="221"/>
      <c r="C93" s="222"/>
      <c r="D93" s="222"/>
      <c r="E93" s="223"/>
      <c r="F93" s="222"/>
      <c r="G93" s="224"/>
      <c r="H93" s="225"/>
      <c r="I93" s="3"/>
      <c r="J93" s="3"/>
      <c r="K93" s="3"/>
      <c r="L93" s="3"/>
      <c r="M93" s="3"/>
      <c r="N93" s="3"/>
      <c r="O93" s="3"/>
      <c r="P93" s="3"/>
    </row>
    <row r="94" ht="16.8" customHeight="1" spans="1:16" x14ac:dyDescent="0.25">
      <c r="A94" s="3"/>
      <c r="B94" s="221"/>
      <c r="C94" s="222"/>
      <c r="D94" s="222"/>
      <c r="E94" s="223"/>
      <c r="F94" s="222"/>
      <c r="G94" s="224"/>
      <c r="H94" s="225"/>
      <c r="I94" s="3"/>
      <c r="J94" s="3"/>
      <c r="K94" s="3"/>
      <c r="L94" s="3"/>
      <c r="M94" s="3"/>
      <c r="N94" s="3"/>
      <c r="O94" s="3"/>
      <c r="P94" s="3"/>
    </row>
    <row r="95" ht="16.8" customHeight="1" spans="1:16" x14ac:dyDescent="0.25">
      <c r="A95" s="3"/>
      <c r="B95" s="221"/>
      <c r="C95" s="222"/>
      <c r="D95" s="222"/>
      <c r="E95" s="223"/>
      <c r="F95" s="222"/>
      <c r="G95" s="224"/>
      <c r="H95" s="225"/>
      <c r="I95" s="3"/>
      <c r="J95" s="3"/>
      <c r="K95" s="3"/>
      <c r="L95" s="3"/>
      <c r="M95" s="3"/>
      <c r="N95" s="3"/>
      <c r="O95" s="3"/>
      <c r="P95" s="3"/>
    </row>
    <row r="96" ht="16.8" customHeight="1" spans="1:16" x14ac:dyDescent="0.25">
      <c r="A96" s="3"/>
      <c r="B96" s="221"/>
      <c r="C96" s="222"/>
      <c r="D96" s="222"/>
      <c r="E96" s="223"/>
      <c r="F96" s="222"/>
      <c r="G96" s="224"/>
      <c r="H96" s="225"/>
      <c r="I96" s="3"/>
      <c r="J96" s="3"/>
      <c r="K96" s="3"/>
      <c r="L96" s="3"/>
      <c r="M96" s="3"/>
      <c r="N96" s="3"/>
      <c r="O96" s="3"/>
      <c r="P96" s="3"/>
    </row>
    <row r="97" ht="16.8" customHeight="1" spans="1:16" x14ac:dyDescent="0.25">
      <c r="A97" s="3"/>
      <c r="B97" s="221"/>
      <c r="C97" s="222"/>
      <c r="D97" s="222"/>
      <c r="E97" s="223"/>
      <c r="F97" s="222"/>
      <c r="G97" s="224"/>
      <c r="H97" s="225"/>
      <c r="I97" s="3"/>
      <c r="J97" s="3"/>
      <c r="K97" s="3"/>
      <c r="L97" s="3"/>
      <c r="M97" s="3"/>
      <c r="N97" s="3"/>
      <c r="O97" s="3"/>
      <c r="P97" s="3"/>
    </row>
    <row r="98" ht="16.8" customHeight="1" spans="1:16" x14ac:dyDescent="0.25">
      <c r="A98" s="3"/>
      <c r="B98" s="221"/>
      <c r="C98" s="222"/>
      <c r="D98" s="222"/>
      <c r="E98" s="223"/>
      <c r="F98" s="222"/>
      <c r="G98" s="224"/>
      <c r="H98" s="225"/>
      <c r="I98" s="3"/>
      <c r="J98" s="3"/>
      <c r="K98" s="3"/>
      <c r="L98" s="3"/>
      <c r="M98" s="3"/>
      <c r="N98" s="3"/>
      <c r="O98" s="3"/>
      <c r="P98" s="3"/>
    </row>
    <row r="99" ht="16.8" customHeight="1" spans="1:16" x14ac:dyDescent="0.25">
      <c r="A99" s="3"/>
      <c r="B99" s="221"/>
      <c r="C99" s="222"/>
      <c r="D99" s="222"/>
      <c r="E99" s="223"/>
      <c r="F99" s="222"/>
      <c r="G99" s="224"/>
      <c r="H99" s="225"/>
      <c r="I99" s="3"/>
      <c r="J99" s="3"/>
      <c r="K99" s="3"/>
      <c r="L99" s="3"/>
      <c r="M99" s="3"/>
      <c r="N99" s="3"/>
      <c r="O99" s="3"/>
      <c r="P99" s="3"/>
    </row>
    <row r="100" ht="16.8" customHeight="1" spans="1:16" x14ac:dyDescent="0.25">
      <c r="A100" s="3"/>
      <c r="B100" s="221"/>
      <c r="C100" s="222"/>
      <c r="D100" s="222"/>
      <c r="E100" s="223"/>
      <c r="F100" s="222"/>
      <c r="G100" s="224"/>
      <c r="H100" s="225"/>
      <c r="I100" s="3"/>
      <c r="J100" s="3"/>
      <c r="K100" s="3"/>
      <c r="L100" s="3"/>
      <c r="M100" s="3"/>
      <c r="N100" s="3"/>
      <c r="O100" s="3"/>
      <c r="P100" s="3"/>
    </row>
    <row r="101" ht="16.8" customHeight="1" spans="1:16" x14ac:dyDescent="0.25">
      <c r="A101" s="3"/>
      <c r="B101" s="221"/>
      <c r="C101" s="222"/>
      <c r="D101" s="222"/>
      <c r="E101" s="223"/>
      <c r="F101" s="222"/>
      <c r="G101" s="224"/>
      <c r="H101" s="225"/>
      <c r="I101" s="3"/>
      <c r="J101" s="3"/>
      <c r="K101" s="3"/>
      <c r="L101" s="3"/>
      <c r="M101" s="3"/>
      <c r="N101" s="3"/>
      <c r="O101" s="3"/>
      <c r="P101" s="3"/>
    </row>
    <row r="102" ht="16.8" customHeight="1" spans="1:16" x14ac:dyDescent="0.25">
      <c r="A102" s="3"/>
      <c r="B102" s="221"/>
      <c r="C102" s="222"/>
      <c r="D102" s="222"/>
      <c r="E102" s="223"/>
      <c r="F102" s="222"/>
      <c r="G102" s="224"/>
      <c r="H102" s="225"/>
      <c r="I102" s="3"/>
      <c r="J102" s="3"/>
      <c r="K102" s="3"/>
      <c r="L102" s="3"/>
      <c r="M102" s="3"/>
      <c r="N102" s="3"/>
      <c r="O102" s="3"/>
      <c r="P102" s="3"/>
    </row>
    <row r="103" ht="16.8" customHeight="1" spans="1:16" x14ac:dyDescent="0.25">
      <c r="A103" s="3"/>
      <c r="B103" s="221"/>
      <c r="C103" s="222"/>
      <c r="D103" s="222"/>
      <c r="E103" s="223"/>
      <c r="F103" s="222"/>
      <c r="G103" s="224"/>
      <c r="H103" s="225"/>
      <c r="I103" s="3"/>
      <c r="J103" s="3"/>
      <c r="K103" s="3"/>
      <c r="L103" s="3"/>
      <c r="M103" s="3"/>
      <c r="N103" s="3"/>
      <c r="O103" s="3"/>
      <c r="P103" s="3"/>
    </row>
    <row r="104" ht="16.8" customHeight="1" spans="1:16" x14ac:dyDescent="0.25">
      <c r="A104" s="3"/>
      <c r="B104" s="221"/>
      <c r="C104" s="222"/>
      <c r="D104" s="222"/>
      <c r="E104" s="223"/>
      <c r="F104" s="222"/>
      <c r="G104" s="224"/>
      <c r="H104" s="225"/>
      <c r="I104" s="3"/>
      <c r="J104" s="3"/>
      <c r="K104" s="3"/>
      <c r="L104" s="3"/>
      <c r="M104" s="3"/>
      <c r="N104" s="3"/>
      <c r="O104" s="3"/>
      <c r="P104" s="3"/>
    </row>
    <row r="105" ht="16.8" customHeight="1" spans="1:16" x14ac:dyDescent="0.25">
      <c r="A105" s="3"/>
      <c r="B105" s="221"/>
      <c r="C105" s="222"/>
      <c r="D105" s="222"/>
      <c r="E105" s="223"/>
      <c r="F105" s="222"/>
      <c r="G105" s="224"/>
      <c r="H105" s="225"/>
      <c r="I105" s="3"/>
      <c r="J105" s="3"/>
      <c r="K105" s="3"/>
      <c r="L105" s="3"/>
      <c r="M105" s="3"/>
      <c r="N105" s="3"/>
      <c r="O105" s="3"/>
      <c r="P105" s="3"/>
    </row>
    <row r="106" ht="16.8" customHeight="1" spans="1:16" x14ac:dyDescent="0.25">
      <c r="A106" s="3"/>
      <c r="B106" s="221"/>
      <c r="C106" s="222"/>
      <c r="D106" s="222"/>
      <c r="E106" s="223"/>
      <c r="F106" s="222"/>
      <c r="G106" s="224"/>
      <c r="H106" s="225"/>
      <c r="I106" s="3"/>
      <c r="J106" s="3"/>
      <c r="K106" s="3"/>
      <c r="L106" s="3"/>
      <c r="M106" s="3"/>
      <c r="N106" s="3"/>
      <c r="O106" s="3"/>
      <c r="P106" s="3"/>
    </row>
    <row r="107" ht="16.8" customHeight="1" spans="1:16" x14ac:dyDescent="0.25">
      <c r="A107" s="3"/>
      <c r="B107" s="221"/>
      <c r="C107" s="222"/>
      <c r="D107" s="222"/>
      <c r="E107" s="223"/>
      <c r="F107" s="222"/>
      <c r="G107" s="224"/>
      <c r="H107" s="225"/>
      <c r="I107" s="3"/>
      <c r="J107" s="3"/>
      <c r="K107" s="3"/>
      <c r="L107" s="3"/>
      <c r="M107" s="3"/>
      <c r="N107" s="3"/>
      <c r="O107" s="3"/>
      <c r="P107" s="3"/>
    </row>
    <row r="108" ht="16.8" customHeight="1" spans="1:16" x14ac:dyDescent="0.25">
      <c r="A108" s="3"/>
      <c r="B108" s="221"/>
      <c r="C108" s="222"/>
      <c r="D108" s="222"/>
      <c r="E108" s="223"/>
      <c r="F108" s="222"/>
      <c r="G108" s="224"/>
      <c r="H108" s="225"/>
      <c r="I108" s="3"/>
      <c r="J108" s="3"/>
      <c r="K108" s="3"/>
      <c r="L108" s="3"/>
      <c r="M108" s="3"/>
      <c r="N108" s="3"/>
      <c r="O108" s="3"/>
      <c r="P108" s="3"/>
    </row>
    <row r="109" ht="16.8" customHeight="1" spans="1:16" x14ac:dyDescent="0.25">
      <c r="A109" s="3"/>
      <c r="B109" s="221"/>
      <c r="C109" s="222"/>
      <c r="D109" s="222"/>
      <c r="E109" s="223"/>
      <c r="F109" s="222"/>
      <c r="G109" s="224"/>
      <c r="H109" s="225"/>
      <c r="I109" s="3"/>
      <c r="J109" s="3"/>
      <c r="K109" s="3"/>
      <c r="L109" s="3"/>
      <c r="M109" s="3"/>
      <c r="N109" s="3"/>
      <c r="O109" s="3"/>
      <c r="P109" s="3"/>
    </row>
    <row r="110" ht="16.8" customHeight="1" spans="1:16" x14ac:dyDescent="0.25">
      <c r="A110" s="3"/>
      <c r="B110" s="221"/>
      <c r="C110" s="222"/>
      <c r="D110" s="222"/>
      <c r="E110" s="223"/>
      <c r="F110" s="222"/>
      <c r="G110" s="224"/>
      <c r="H110" s="225"/>
      <c r="I110" s="3"/>
      <c r="J110" s="3"/>
      <c r="K110" s="3"/>
      <c r="L110" s="3"/>
      <c r="M110" s="3"/>
      <c r="N110" s="3"/>
      <c r="O110" s="3"/>
      <c r="P110" s="3"/>
    </row>
    <row r="111" ht="16.8" customHeight="1" spans="1:16" x14ac:dyDescent="0.25">
      <c r="A111" s="3"/>
      <c r="B111" s="221"/>
      <c r="C111" s="222"/>
      <c r="D111" s="222"/>
      <c r="E111" s="223"/>
      <c r="F111" s="222"/>
      <c r="G111" s="224"/>
      <c r="H111" s="225"/>
      <c r="I111" s="3"/>
      <c r="J111" s="3"/>
      <c r="K111" s="3"/>
      <c r="L111" s="3"/>
      <c r="M111" s="3"/>
      <c r="N111" s="3"/>
      <c r="O111" s="3"/>
      <c r="P111" s="3"/>
    </row>
    <row r="112" ht="16.8" customHeight="1" spans="1:16" x14ac:dyDescent="0.25">
      <c r="A112" s="3"/>
      <c r="B112" s="221"/>
      <c r="C112" s="222"/>
      <c r="D112" s="222"/>
      <c r="E112" s="223"/>
      <c r="F112" s="222"/>
      <c r="G112" s="224"/>
      <c r="H112" s="225"/>
      <c r="I112" s="3"/>
      <c r="J112" s="3"/>
      <c r="K112" s="3"/>
      <c r="L112" s="3"/>
      <c r="M112" s="3"/>
      <c r="N112" s="3"/>
      <c r="O112" s="3"/>
      <c r="P112" s="3"/>
    </row>
    <row r="113" ht="16.8" customHeight="1" spans="1:16" x14ac:dyDescent="0.25">
      <c r="A113" s="3"/>
      <c r="B113" s="221"/>
      <c r="C113" s="222"/>
      <c r="D113" s="222"/>
      <c r="E113" s="223"/>
      <c r="F113" s="222"/>
      <c r="G113" s="224"/>
      <c r="H113" s="225"/>
      <c r="I113" s="3"/>
      <c r="J113" s="3"/>
      <c r="K113" s="3"/>
      <c r="L113" s="3"/>
      <c r="M113" s="3"/>
      <c r="N113" s="3"/>
      <c r="O113" s="3"/>
      <c r="P113" s="3"/>
    </row>
    <row r="114" ht="16.8" customHeight="1" spans="1:16" x14ac:dyDescent="0.25">
      <c r="A114" s="3"/>
      <c r="B114" s="221"/>
      <c r="C114" s="222"/>
      <c r="D114" s="222"/>
      <c r="E114" s="223"/>
      <c r="F114" s="222"/>
      <c r="G114" s="224"/>
      <c r="H114" s="225"/>
      <c r="I114" s="3"/>
      <c r="J114" s="3"/>
      <c r="K114" s="3"/>
      <c r="L114" s="3"/>
      <c r="M114" s="3"/>
      <c r="N114" s="3"/>
      <c r="O114" s="3"/>
      <c r="P114" s="3"/>
    </row>
    <row r="115" ht="16.8" customHeight="1" spans="1:16" x14ac:dyDescent="0.25">
      <c r="A115" s="3"/>
      <c r="B115" s="221"/>
      <c r="C115" s="222"/>
      <c r="D115" s="222"/>
      <c r="E115" s="223"/>
      <c r="F115" s="222"/>
      <c r="G115" s="224"/>
      <c r="H115" s="225"/>
      <c r="I115" s="3"/>
      <c r="J115" s="3"/>
      <c r="K115" s="3"/>
      <c r="L115" s="3"/>
      <c r="M115" s="3"/>
      <c r="N115" s="3"/>
      <c r="O115" s="3"/>
      <c r="P115" s="3"/>
    </row>
    <row r="116" ht="16.8" customHeight="1" spans="1:16" x14ac:dyDescent="0.25">
      <c r="A116" s="3"/>
      <c r="B116" s="221"/>
      <c r="C116" s="222"/>
      <c r="D116" s="222"/>
      <c r="E116" s="223"/>
      <c r="F116" s="222"/>
      <c r="G116" s="224"/>
      <c r="H116" s="225"/>
      <c r="I116" s="3"/>
      <c r="J116" s="3"/>
      <c r="K116" s="3"/>
      <c r="L116" s="3"/>
      <c r="M116" s="3"/>
      <c r="N116" s="3"/>
      <c r="O116" s="3"/>
      <c r="P116" s="3"/>
    </row>
    <row r="117" ht="16.8" customHeight="1" spans="1:16" x14ac:dyDescent="0.25">
      <c r="A117" s="3"/>
      <c r="B117" s="221"/>
      <c r="C117" s="222"/>
      <c r="D117" s="222"/>
      <c r="E117" s="223"/>
      <c r="F117" s="222"/>
      <c r="G117" s="224"/>
      <c r="H117" s="225"/>
      <c r="I117" s="3"/>
      <c r="J117" s="3"/>
      <c r="K117" s="3"/>
      <c r="L117" s="3"/>
      <c r="M117" s="3"/>
      <c r="N117" s="3"/>
      <c r="O117" s="3"/>
      <c r="P117" s="3"/>
    </row>
    <row r="118" ht="16.8" customHeight="1" spans="1:16" x14ac:dyDescent="0.25">
      <c r="A118" s="3"/>
      <c r="B118" s="221"/>
      <c r="C118" s="222"/>
      <c r="D118" s="222"/>
      <c r="E118" s="223"/>
      <c r="F118" s="222"/>
      <c r="G118" s="224"/>
      <c r="H118" s="225"/>
      <c r="I118" s="3"/>
      <c r="J118" s="3"/>
      <c r="K118" s="3"/>
      <c r="L118" s="3"/>
      <c r="M118" s="3"/>
      <c r="N118" s="3"/>
      <c r="O118" s="3"/>
      <c r="P118" s="3"/>
    </row>
    <row r="119" ht="16.8" customHeight="1" spans="1:16" x14ac:dyDescent="0.25">
      <c r="A119" s="3"/>
      <c r="B119" s="221"/>
      <c r="C119" s="222"/>
      <c r="D119" s="222"/>
      <c r="E119" s="223"/>
      <c r="F119" s="222"/>
      <c r="G119" s="224"/>
      <c r="H119" s="225"/>
      <c r="I119" s="3"/>
      <c r="J119" s="3"/>
      <c r="K119" s="3"/>
      <c r="L119" s="3"/>
      <c r="M119" s="3"/>
      <c r="N119" s="3"/>
      <c r="O119" s="3"/>
      <c r="P119" s="3"/>
    </row>
    <row r="120" ht="16.8" customHeight="1" spans="1:16" x14ac:dyDescent="0.25">
      <c r="A120" s="3"/>
      <c r="B120" s="221"/>
      <c r="C120" s="222"/>
      <c r="D120" s="222"/>
      <c r="E120" s="223"/>
      <c r="F120" s="222"/>
      <c r="G120" s="224"/>
      <c r="H120" s="225"/>
      <c r="I120" s="3"/>
      <c r="J120" s="3"/>
      <c r="K120" s="3"/>
      <c r="L120" s="3"/>
      <c r="M120" s="3"/>
      <c r="N120" s="3"/>
      <c r="O120" s="3"/>
      <c r="P120" s="3"/>
    </row>
    <row r="121" ht="16.8" customHeight="1" spans="1:16" x14ac:dyDescent="0.25">
      <c r="A121" s="3"/>
      <c r="B121" s="221"/>
      <c r="C121" s="222"/>
      <c r="D121" s="222"/>
      <c r="E121" s="223"/>
      <c r="F121" s="222"/>
      <c r="G121" s="224"/>
      <c r="H121" s="225"/>
      <c r="I121" s="3"/>
      <c r="J121" s="3"/>
      <c r="K121" s="3"/>
      <c r="L121" s="3"/>
      <c r="M121" s="3"/>
      <c r="N121" s="3"/>
      <c r="O121" s="3"/>
      <c r="P121" s="3"/>
    </row>
    <row r="122" ht="16.8" customHeight="1" spans="1:16" x14ac:dyDescent="0.25">
      <c r="A122" s="3"/>
      <c r="B122" s="221"/>
      <c r="C122" s="222"/>
      <c r="D122" s="222"/>
      <c r="E122" s="223"/>
      <c r="F122" s="222"/>
      <c r="G122" s="224"/>
      <c r="H122" s="225"/>
      <c r="I122" s="3"/>
      <c r="J122" s="3"/>
      <c r="K122" s="3"/>
      <c r="L122" s="3"/>
      <c r="M122" s="3"/>
      <c r="N122" s="3"/>
      <c r="O122" s="3"/>
      <c r="P122" s="3"/>
    </row>
    <row r="123" ht="16.8" customHeight="1" spans="1:16" x14ac:dyDescent="0.25">
      <c r="A123" s="3"/>
      <c r="B123" s="221"/>
      <c r="C123" s="222"/>
      <c r="D123" s="222"/>
      <c r="E123" s="223"/>
      <c r="F123" s="222"/>
      <c r="G123" s="224"/>
      <c r="H123" s="225"/>
      <c r="I123" s="3"/>
      <c r="J123" s="3"/>
      <c r="K123" s="3"/>
      <c r="L123" s="3"/>
      <c r="M123" s="3"/>
      <c r="N123" s="3"/>
      <c r="O123" s="3"/>
      <c r="P123" s="3"/>
    </row>
    <row r="124" ht="16.8" customHeight="1" spans="1:16" x14ac:dyDescent="0.25">
      <c r="A124" s="3"/>
      <c r="B124" s="221"/>
      <c r="C124" s="222"/>
      <c r="D124" s="222"/>
      <c r="E124" s="223"/>
      <c r="F124" s="222"/>
      <c r="G124" s="224"/>
      <c r="H124" s="225"/>
      <c r="I124" s="3"/>
      <c r="J124" s="3"/>
      <c r="K124" s="3"/>
      <c r="L124" s="3"/>
      <c r="M124" s="3"/>
      <c r="N124" s="3"/>
      <c r="O124" s="3"/>
      <c r="P124" s="3"/>
    </row>
    <row r="125" ht="16.8" customHeight="1" spans="1:16" x14ac:dyDescent="0.25">
      <c r="A125" s="3"/>
      <c r="B125" s="221"/>
      <c r="C125" s="222"/>
      <c r="D125" s="222"/>
      <c r="E125" s="223"/>
      <c r="F125" s="222"/>
      <c r="G125" s="224"/>
      <c r="H125" s="225"/>
      <c r="I125" s="3"/>
      <c r="J125" s="3"/>
      <c r="K125" s="3"/>
      <c r="L125" s="3"/>
      <c r="M125" s="3"/>
      <c r="N125" s="3"/>
      <c r="O125" s="3"/>
      <c r="P125" s="3"/>
    </row>
    <row r="126" ht="16.8" customHeight="1" spans="1:16" x14ac:dyDescent="0.25">
      <c r="A126" s="3"/>
      <c r="B126" s="221"/>
      <c r="C126" s="222"/>
      <c r="D126" s="222"/>
      <c r="E126" s="223"/>
      <c r="F126" s="222"/>
      <c r="G126" s="224"/>
      <c r="H126" s="225"/>
      <c r="I126" s="3"/>
      <c r="J126" s="3"/>
      <c r="K126" s="3"/>
      <c r="L126" s="3"/>
      <c r="M126" s="3"/>
      <c r="N126" s="3"/>
      <c r="O126" s="3"/>
      <c r="P126" s="3"/>
    </row>
    <row r="127" ht="16.8" customHeight="1" spans="1:16" x14ac:dyDescent="0.25">
      <c r="A127" s="3"/>
      <c r="B127" s="221"/>
      <c r="C127" s="222"/>
      <c r="D127" s="222"/>
      <c r="E127" s="223"/>
      <c r="F127" s="222"/>
      <c r="G127" s="224"/>
      <c r="H127" s="225"/>
      <c r="I127" s="3"/>
      <c r="J127" s="3"/>
      <c r="K127" s="3"/>
      <c r="L127" s="3"/>
      <c r="M127" s="3"/>
      <c r="N127" s="3"/>
      <c r="O127" s="3"/>
      <c r="P127" s="3"/>
    </row>
    <row r="128" ht="16.8" customHeight="1" spans="1:16" x14ac:dyDescent="0.25">
      <c r="A128" s="3"/>
      <c r="B128" s="221"/>
      <c r="C128" s="222"/>
      <c r="D128" s="222"/>
      <c r="E128" s="223"/>
      <c r="F128" s="222"/>
      <c r="G128" s="224"/>
      <c r="H128" s="225"/>
      <c r="I128" s="3"/>
      <c r="J128" s="3"/>
      <c r="K128" s="3"/>
      <c r="L128" s="3"/>
      <c r="M128" s="3"/>
      <c r="N128" s="3"/>
      <c r="O128" s="3"/>
      <c r="P128" s="3"/>
    </row>
    <row r="129" ht="16.8" customHeight="1" spans="1:16" x14ac:dyDescent="0.25">
      <c r="A129" s="3"/>
      <c r="B129" s="221"/>
      <c r="C129" s="222"/>
      <c r="D129" s="222"/>
      <c r="E129" s="223"/>
      <c r="F129" s="222"/>
      <c r="G129" s="224"/>
      <c r="H129" s="225"/>
      <c r="I129" s="3"/>
      <c r="J129" s="3"/>
      <c r="K129" s="3"/>
      <c r="L129" s="3"/>
      <c r="M129" s="3"/>
      <c r="N129" s="3"/>
      <c r="O129" s="3"/>
      <c r="P129" s="3"/>
    </row>
    <row r="130" ht="16.8" customHeight="1" spans="1:16" x14ac:dyDescent="0.25">
      <c r="A130" s="3"/>
      <c r="B130" s="221"/>
      <c r="C130" s="222"/>
      <c r="D130" s="222"/>
      <c r="E130" s="223"/>
      <c r="F130" s="222"/>
      <c r="G130" s="224"/>
      <c r="H130" s="225"/>
      <c r="I130" s="3"/>
      <c r="J130" s="3"/>
      <c r="K130" s="3"/>
      <c r="L130" s="3"/>
      <c r="M130" s="3"/>
      <c r="N130" s="3"/>
      <c r="O130" s="3"/>
      <c r="P130" s="3"/>
    </row>
    <row r="131" ht="16.8" customHeight="1" spans="1:16" x14ac:dyDescent="0.25">
      <c r="A131" s="3"/>
      <c r="B131" s="221"/>
      <c r="C131" s="222"/>
      <c r="D131" s="222"/>
      <c r="E131" s="223"/>
      <c r="F131" s="222"/>
      <c r="G131" s="224"/>
      <c r="H131" s="225"/>
      <c r="I131" s="3"/>
      <c r="J131" s="3"/>
      <c r="K131" s="3"/>
      <c r="L131" s="3"/>
      <c r="M131" s="3"/>
      <c r="N131" s="3"/>
      <c r="O131" s="3"/>
      <c r="P131" s="3"/>
    </row>
    <row r="132" ht="16.8" customHeight="1" spans="1:16" x14ac:dyDescent="0.25">
      <c r="A132" s="3"/>
      <c r="B132" s="221"/>
      <c r="C132" s="222"/>
      <c r="D132" s="222"/>
      <c r="E132" s="223"/>
      <c r="F132" s="222"/>
      <c r="G132" s="224"/>
      <c r="H132" s="225"/>
      <c r="I132" s="3"/>
      <c r="J132" s="3"/>
      <c r="K132" s="3"/>
      <c r="L132" s="3"/>
      <c r="M132" s="3"/>
      <c r="N132" s="3"/>
      <c r="O132" s="3"/>
      <c r="P132" s="3"/>
    </row>
    <row r="133" ht="16.8" customHeight="1" spans="1:16" x14ac:dyDescent="0.25">
      <c r="A133" s="3"/>
      <c r="B133" s="221"/>
      <c r="C133" s="222"/>
      <c r="D133" s="222"/>
      <c r="E133" s="223"/>
      <c r="F133" s="222"/>
      <c r="G133" s="224"/>
      <c r="H133" s="225"/>
      <c r="I133" s="3"/>
      <c r="J133" s="3"/>
      <c r="K133" s="3"/>
      <c r="L133" s="3"/>
      <c r="M133" s="3"/>
      <c r="N133" s="3"/>
      <c r="O133" s="3"/>
      <c r="P133" s="3"/>
    </row>
    <row r="134" ht="16.8" customHeight="1" spans="1:16" x14ac:dyDescent="0.25">
      <c r="A134" s="3"/>
      <c r="B134" s="221"/>
      <c r="C134" s="222"/>
      <c r="D134" s="222"/>
      <c r="E134" s="223"/>
      <c r="F134" s="222"/>
      <c r="G134" s="224"/>
      <c r="H134" s="225"/>
      <c r="I134" s="3"/>
      <c r="J134" s="3"/>
      <c r="K134" s="3"/>
      <c r="L134" s="3"/>
      <c r="M134" s="3"/>
      <c r="N134" s="3"/>
      <c r="O134" s="3"/>
      <c r="P134" s="3"/>
    </row>
    <row r="135" ht="16.8" customHeight="1" spans="1:16" x14ac:dyDescent="0.25">
      <c r="A135" s="3"/>
      <c r="B135" s="221"/>
      <c r="C135" s="222"/>
      <c r="D135" s="222"/>
      <c r="E135" s="223"/>
      <c r="F135" s="222"/>
      <c r="G135" s="224"/>
      <c r="H135" s="225"/>
      <c r="I135" s="3"/>
      <c r="J135" s="3"/>
      <c r="K135" s="3"/>
      <c r="L135" s="3"/>
      <c r="M135" s="3"/>
      <c r="N135" s="3"/>
      <c r="O135" s="3"/>
      <c r="P135" s="3"/>
    </row>
    <row r="136" ht="16.8" customHeight="1" spans="1:16" x14ac:dyDescent="0.25">
      <c r="A136" s="3"/>
      <c r="B136" s="221"/>
      <c r="C136" s="222"/>
      <c r="D136" s="222"/>
      <c r="E136" s="223"/>
      <c r="F136" s="222"/>
      <c r="G136" s="224"/>
      <c r="H136" s="225"/>
      <c r="I136" s="3"/>
      <c r="J136" s="3"/>
      <c r="K136" s="3"/>
      <c r="L136" s="3"/>
      <c r="M136" s="3"/>
      <c r="N136" s="3"/>
      <c r="O136" s="3"/>
      <c r="P136" s="3"/>
    </row>
    <row r="137" ht="16.8" customHeight="1" spans="1:16" x14ac:dyDescent="0.25">
      <c r="A137" s="3"/>
      <c r="B137" s="221"/>
      <c r="C137" s="222"/>
      <c r="D137" s="222"/>
      <c r="E137" s="223"/>
      <c r="F137" s="222"/>
      <c r="G137" s="224"/>
      <c r="H137" s="225"/>
      <c r="I137" s="3"/>
      <c r="J137" s="3"/>
      <c r="K137" s="3"/>
      <c r="L137" s="3"/>
      <c r="M137" s="3"/>
      <c r="N137" s="3"/>
      <c r="O137" s="3"/>
      <c r="P137" s="3"/>
    </row>
    <row r="138" ht="16.8" customHeight="1" spans="1:16" x14ac:dyDescent="0.25">
      <c r="A138" s="3"/>
      <c r="B138" s="221"/>
      <c r="C138" s="222"/>
      <c r="D138" s="222"/>
      <c r="E138" s="223"/>
      <c r="F138" s="222"/>
      <c r="G138" s="224"/>
      <c r="H138" s="225"/>
      <c r="I138" s="3"/>
      <c r="J138" s="3"/>
      <c r="K138" s="3"/>
      <c r="L138" s="3"/>
      <c r="M138" s="3"/>
      <c r="N138" s="3"/>
      <c r="O138" s="3"/>
      <c r="P138" s="3"/>
    </row>
    <row r="139" ht="16.8" customHeight="1" spans="1:16" x14ac:dyDescent="0.25">
      <c r="A139" s="3"/>
      <c r="B139" s="221"/>
      <c r="C139" s="222"/>
      <c r="D139" s="222"/>
      <c r="E139" s="223"/>
      <c r="F139" s="222"/>
      <c r="G139" s="224"/>
      <c r="H139" s="225"/>
      <c r="I139" s="3"/>
      <c r="J139" s="3"/>
      <c r="K139" s="3"/>
      <c r="L139" s="3"/>
      <c r="M139" s="3"/>
      <c r="N139" s="3"/>
      <c r="O139" s="3"/>
      <c r="P139" s="3"/>
    </row>
    <row r="140" ht="16.8" customHeight="1" spans="1:16" x14ac:dyDescent="0.25">
      <c r="A140" s="3"/>
      <c r="B140" s="221"/>
      <c r="C140" s="222"/>
      <c r="D140" s="222"/>
      <c r="E140" s="223"/>
      <c r="F140" s="222"/>
      <c r="G140" s="224"/>
      <c r="H140" s="225"/>
      <c r="I140" s="3"/>
      <c r="J140" s="3"/>
      <c r="K140" s="3"/>
      <c r="L140" s="3"/>
      <c r="M140" s="3"/>
      <c r="N140" s="3"/>
      <c r="O140" s="3"/>
      <c r="P140" s="3"/>
    </row>
    <row r="141" ht="16.8" customHeight="1" spans="1:16" x14ac:dyDescent="0.25">
      <c r="A141" s="3"/>
      <c r="B141" s="221"/>
      <c r="C141" s="222"/>
      <c r="D141" s="222"/>
      <c r="E141" s="223"/>
      <c r="F141" s="222"/>
      <c r="G141" s="224"/>
      <c r="H141" s="225"/>
      <c r="I141" s="3"/>
      <c r="J141" s="3"/>
      <c r="K141" s="3"/>
      <c r="L141" s="3"/>
      <c r="M141" s="3"/>
      <c r="N141" s="3"/>
      <c r="O141" s="3"/>
      <c r="P141" s="3"/>
    </row>
    <row r="142" ht="16.8" customHeight="1" spans="1:16" x14ac:dyDescent="0.25">
      <c r="A142" s="3"/>
      <c r="B142" s="221"/>
      <c r="C142" s="222"/>
      <c r="D142" s="222"/>
      <c r="E142" s="223"/>
      <c r="F142" s="222"/>
      <c r="G142" s="224"/>
      <c r="H142" s="225"/>
      <c r="I142" s="3"/>
      <c r="J142" s="3"/>
      <c r="K142" s="3"/>
      <c r="L142" s="3"/>
      <c r="M142" s="3"/>
      <c r="N142" s="3"/>
      <c r="O142" s="3"/>
      <c r="P142" s="3"/>
    </row>
    <row r="143" ht="16.8" customHeight="1" spans="1:16" x14ac:dyDescent="0.25">
      <c r="A143" s="3"/>
      <c r="B143" s="221"/>
      <c r="C143" s="222"/>
      <c r="D143" s="222"/>
      <c r="E143" s="223"/>
      <c r="F143" s="222"/>
      <c r="G143" s="224"/>
      <c r="H143" s="225"/>
      <c r="I143" s="3"/>
      <c r="J143" s="3"/>
      <c r="K143" s="3"/>
      <c r="L143" s="3"/>
      <c r="M143" s="3"/>
      <c r="N143" s="3"/>
      <c r="O143" s="3"/>
      <c r="P143" s="3"/>
    </row>
    <row r="144" ht="16.8" customHeight="1" spans="1:16" x14ac:dyDescent="0.25">
      <c r="A144" s="3"/>
      <c r="B144" s="221"/>
      <c r="C144" s="222"/>
      <c r="D144" s="222"/>
      <c r="E144" s="223"/>
      <c r="F144" s="222"/>
      <c r="G144" s="224"/>
      <c r="H144" s="225"/>
      <c r="I144" s="3"/>
      <c r="J144" s="3"/>
      <c r="K144" s="3"/>
      <c r="L144" s="3"/>
      <c r="M144" s="3"/>
      <c r="N144" s="3"/>
      <c r="O144" s="3"/>
      <c r="P144" s="3"/>
    </row>
    <row r="145" ht="16.8" customHeight="1" spans="1:16" x14ac:dyDescent="0.25">
      <c r="A145" s="3"/>
      <c r="B145" s="221"/>
      <c r="C145" s="222"/>
      <c r="D145" s="222"/>
      <c r="E145" s="223"/>
      <c r="F145" s="222"/>
      <c r="G145" s="224"/>
      <c r="H145" s="225"/>
      <c r="I145" s="3"/>
      <c r="J145" s="3"/>
      <c r="K145" s="3"/>
      <c r="L145" s="3"/>
      <c r="M145" s="3"/>
      <c r="N145" s="3"/>
      <c r="O145" s="3"/>
      <c r="P145" s="3"/>
    </row>
    <row r="146" ht="16.8" customHeight="1" spans="1:16" x14ac:dyDescent="0.25">
      <c r="A146" s="3"/>
      <c r="B146" s="221"/>
      <c r="C146" s="222"/>
      <c r="D146" s="222"/>
      <c r="E146" s="223"/>
      <c r="F146" s="222"/>
      <c r="G146" s="224"/>
      <c r="H146" s="225"/>
      <c r="I146" s="3"/>
      <c r="J146" s="3"/>
      <c r="K146" s="3"/>
      <c r="L146" s="3"/>
      <c r="M146" s="3"/>
      <c r="N146" s="3"/>
      <c r="O146" s="3"/>
      <c r="P146" s="3"/>
    </row>
    <row r="147" ht="16.8" customHeight="1" spans="1:16" x14ac:dyDescent="0.25">
      <c r="A147" s="3"/>
      <c r="B147" s="221"/>
      <c r="C147" s="222"/>
      <c r="D147" s="222"/>
      <c r="E147" s="223"/>
      <c r="F147" s="222"/>
      <c r="G147" s="224"/>
      <c r="H147" s="225"/>
      <c r="I147" s="3"/>
      <c r="J147" s="3"/>
      <c r="K147" s="3"/>
      <c r="L147" s="3"/>
      <c r="M147" s="3"/>
      <c r="N147" s="3"/>
      <c r="O147" s="3"/>
      <c r="P147" s="3"/>
    </row>
    <row r="148" ht="16.8" customHeight="1" spans="1:16" x14ac:dyDescent="0.25">
      <c r="A148" s="3"/>
      <c r="B148" s="221"/>
      <c r="C148" s="222"/>
      <c r="D148" s="222"/>
      <c r="E148" s="223"/>
      <c r="F148" s="222"/>
      <c r="G148" s="224"/>
      <c r="H148" s="225"/>
      <c r="I148" s="3"/>
      <c r="J148" s="3"/>
      <c r="K148" s="3"/>
      <c r="L148" s="3"/>
      <c r="M148" s="3"/>
      <c r="N148" s="3"/>
      <c r="O148" s="3"/>
      <c r="P148" s="3"/>
    </row>
    <row r="149" ht="16.8" customHeight="1" spans="1:16" x14ac:dyDescent="0.25">
      <c r="A149" s="3"/>
      <c r="B149" s="221"/>
      <c r="C149" s="222"/>
      <c r="D149" s="222"/>
      <c r="E149" s="223"/>
      <c r="F149" s="222"/>
      <c r="G149" s="224"/>
      <c r="H149" s="225"/>
      <c r="I149" s="3"/>
      <c r="J149" s="3"/>
      <c r="K149" s="3"/>
      <c r="L149" s="3"/>
      <c r="M149" s="3"/>
      <c r="N149" s="3"/>
      <c r="O149" s="3"/>
      <c r="P149" s="3"/>
    </row>
    <row r="150" ht="16.8" customHeight="1" spans="1:16" x14ac:dyDescent="0.25">
      <c r="A150" s="3"/>
      <c r="B150" s="221"/>
      <c r="C150" s="222"/>
      <c r="D150" s="222"/>
      <c r="E150" s="223"/>
      <c r="F150" s="222"/>
      <c r="G150" s="224"/>
      <c r="H150" s="225"/>
      <c r="I150" s="3"/>
      <c r="J150" s="3"/>
      <c r="K150" s="3"/>
      <c r="L150" s="3"/>
      <c r="M150" s="3"/>
      <c r="N150" s="3"/>
      <c r="O150" s="3"/>
      <c r="P150" s="3"/>
    </row>
    <row r="151" ht="16.8" customHeight="1" spans="1:16" x14ac:dyDescent="0.25">
      <c r="A151" s="3"/>
      <c r="B151" s="221"/>
      <c r="C151" s="222"/>
      <c r="D151" s="222"/>
      <c r="E151" s="223"/>
      <c r="F151" s="222"/>
      <c r="G151" s="224"/>
      <c r="H151" s="225"/>
      <c r="I151" s="3"/>
      <c r="J151" s="3"/>
      <c r="K151" s="3"/>
      <c r="L151" s="3"/>
      <c r="M151" s="3"/>
      <c r="N151" s="3"/>
      <c r="O151" s="3"/>
      <c r="P151" s="3"/>
    </row>
    <row r="152" ht="16.8" customHeight="1" spans="1:16" x14ac:dyDescent="0.25">
      <c r="A152" s="3"/>
      <c r="B152" s="221"/>
      <c r="C152" s="222"/>
      <c r="D152" s="222"/>
      <c r="E152" s="223"/>
      <c r="F152" s="222"/>
      <c r="G152" s="224"/>
      <c r="H152" s="225"/>
      <c r="I152" s="3"/>
      <c r="J152" s="3"/>
      <c r="K152" s="3"/>
      <c r="L152" s="3"/>
      <c r="M152" s="3"/>
      <c r="N152" s="3"/>
      <c r="O152" s="3"/>
      <c r="P152" s="3"/>
    </row>
    <row r="153" ht="16.8" customHeight="1" spans="1:16" x14ac:dyDescent="0.25">
      <c r="A153" s="3"/>
      <c r="B153" s="221"/>
      <c r="C153" s="222"/>
      <c r="D153" s="222"/>
      <c r="E153" s="223"/>
      <c r="F153" s="222"/>
      <c r="G153" s="224"/>
      <c r="H153" s="225"/>
      <c r="I153" s="3"/>
      <c r="J153" s="3"/>
      <c r="K153" s="3"/>
      <c r="L153" s="3"/>
      <c r="M153" s="3"/>
      <c r="N153" s="3"/>
      <c r="O153" s="3"/>
      <c r="P153" s="3"/>
    </row>
    <row r="154" ht="16.8" customHeight="1" spans="1:16" x14ac:dyDescent="0.25">
      <c r="A154" s="3"/>
      <c r="B154" s="221"/>
      <c r="C154" s="222"/>
      <c r="D154" s="222"/>
      <c r="E154" s="223"/>
      <c r="F154" s="222"/>
      <c r="G154" s="224"/>
      <c r="H154" s="225"/>
      <c r="I154" s="3"/>
      <c r="J154" s="3"/>
      <c r="K154" s="3"/>
      <c r="L154" s="3"/>
      <c r="M154" s="3"/>
      <c r="N154" s="3"/>
      <c r="O154" s="3"/>
      <c r="P154" s="3"/>
    </row>
    <row r="155" ht="16.8" customHeight="1" spans="1:16" x14ac:dyDescent="0.25">
      <c r="A155" s="3"/>
      <c r="B155" s="221"/>
      <c r="C155" s="222"/>
      <c r="D155" s="222"/>
      <c r="E155" s="223"/>
      <c r="F155" s="222"/>
      <c r="G155" s="224"/>
      <c r="H155" s="225"/>
      <c r="I155" s="3"/>
      <c r="J155" s="3"/>
      <c r="K155" s="3"/>
      <c r="L155" s="3"/>
      <c r="M155" s="3"/>
      <c r="N155" s="3"/>
      <c r="O155" s="3"/>
      <c r="P155" s="3"/>
    </row>
    <row r="156" ht="16.8" customHeight="1" spans="1:16" x14ac:dyDescent="0.25">
      <c r="A156" s="3"/>
      <c r="B156" s="221"/>
      <c r="C156" s="222"/>
      <c r="D156" s="222"/>
      <c r="E156" s="223"/>
      <c r="F156" s="222"/>
      <c r="G156" s="224"/>
      <c r="H156" s="225"/>
      <c r="I156" s="3"/>
      <c r="J156" s="3"/>
      <c r="K156" s="3"/>
      <c r="L156" s="3"/>
      <c r="M156" s="3"/>
      <c r="N156" s="3"/>
      <c r="O156" s="3"/>
      <c r="P156" s="3"/>
    </row>
    <row r="157" ht="16.8" customHeight="1" spans="1:16" x14ac:dyDescent="0.25">
      <c r="A157" s="3"/>
      <c r="B157" s="221"/>
      <c r="C157" s="222"/>
      <c r="D157" s="222"/>
      <c r="E157" s="223"/>
      <c r="F157" s="222"/>
      <c r="G157" s="224"/>
      <c r="H157" s="225"/>
      <c r="I157" s="3"/>
      <c r="J157" s="3"/>
      <c r="K157" s="3"/>
      <c r="L157" s="3"/>
      <c r="M157" s="3"/>
      <c r="N157" s="3"/>
      <c r="O157" s="3"/>
      <c r="P157" s="3"/>
    </row>
    <row r="158" ht="16.8" customHeight="1" spans="1:16" x14ac:dyDescent="0.25">
      <c r="A158" s="3"/>
      <c r="B158" s="221"/>
      <c r="C158" s="222"/>
      <c r="D158" s="222"/>
      <c r="E158" s="223"/>
      <c r="F158" s="222"/>
      <c r="G158" s="224"/>
      <c r="H158" s="225"/>
      <c r="I158" s="3"/>
      <c r="J158" s="3"/>
      <c r="K158" s="3"/>
      <c r="L158" s="3"/>
      <c r="M158" s="3"/>
      <c r="N158" s="3"/>
      <c r="O158" s="3"/>
      <c r="P158" s="3"/>
    </row>
    <row r="159" ht="16.8" customHeight="1" spans="1:16" x14ac:dyDescent="0.25">
      <c r="A159" s="3"/>
      <c r="B159" s="221"/>
      <c r="C159" s="222"/>
      <c r="D159" s="222"/>
      <c r="E159" s="223"/>
      <c r="F159" s="222"/>
      <c r="G159" s="224"/>
      <c r="H159" s="225"/>
      <c r="I159" s="3"/>
      <c r="J159" s="3"/>
      <c r="K159" s="3"/>
      <c r="L159" s="3"/>
      <c r="M159" s="3"/>
      <c r="N159" s="3"/>
      <c r="O159" s="3"/>
      <c r="P159" s="3"/>
    </row>
    <row r="160" ht="16.8" customHeight="1" spans="1:16" x14ac:dyDescent="0.25">
      <c r="A160" s="3"/>
      <c r="B160" s="221"/>
      <c r="C160" s="222"/>
      <c r="D160" s="222"/>
      <c r="E160" s="223"/>
      <c r="F160" s="222"/>
      <c r="G160" s="224"/>
      <c r="H160" s="225"/>
      <c r="I160" s="3"/>
      <c r="J160" s="3"/>
      <c r="K160" s="3"/>
      <c r="L160" s="3"/>
      <c r="M160" s="3"/>
      <c r="N160" s="3"/>
      <c r="O160" s="3"/>
      <c r="P160" s="3"/>
    </row>
    <row r="161" ht="16.8" customHeight="1" spans="1:16" x14ac:dyDescent="0.25">
      <c r="A161" s="3"/>
      <c r="B161" s="221"/>
      <c r="C161" s="222"/>
      <c r="D161" s="222"/>
      <c r="E161" s="223"/>
      <c r="F161" s="222"/>
      <c r="G161" s="224"/>
      <c r="H161" s="225"/>
      <c r="I161" s="3"/>
      <c r="J161" s="3"/>
      <c r="K161" s="3"/>
      <c r="L161" s="3"/>
      <c r="M161" s="3"/>
      <c r="N161" s="3"/>
      <c r="O161" s="3"/>
      <c r="P161" s="3"/>
    </row>
    <row r="162" ht="16.8" customHeight="1" spans="1:16" x14ac:dyDescent="0.25">
      <c r="A162" s="3"/>
      <c r="B162" s="221"/>
      <c r="C162" s="222"/>
      <c r="D162" s="222"/>
      <c r="E162" s="223"/>
      <c r="F162" s="222"/>
      <c r="G162" s="224"/>
      <c r="H162" s="225"/>
      <c r="I162" s="3"/>
      <c r="J162" s="3"/>
      <c r="K162" s="3"/>
      <c r="L162" s="3"/>
      <c r="M162" s="3"/>
      <c r="N162" s="3"/>
      <c r="O162" s="3"/>
      <c r="P162" s="3"/>
    </row>
    <row r="163" ht="16.8" customHeight="1" spans="1:16" x14ac:dyDescent="0.25">
      <c r="A163" s="3"/>
      <c r="B163" s="221"/>
      <c r="C163" s="222"/>
      <c r="D163" s="222"/>
      <c r="E163" s="223"/>
      <c r="F163" s="222"/>
      <c r="G163" s="224"/>
      <c r="H163" s="225"/>
      <c r="I163" s="3"/>
      <c r="J163" s="3"/>
      <c r="K163" s="3"/>
      <c r="L163" s="3"/>
      <c r="M163" s="3"/>
      <c r="N163" s="3"/>
      <c r="O163" s="3"/>
      <c r="P163" s="3"/>
    </row>
    <row r="164" ht="16.8" customHeight="1" spans="1:16" x14ac:dyDescent="0.25">
      <c r="A164" s="3"/>
      <c r="B164" s="221"/>
      <c r="C164" s="222"/>
      <c r="D164" s="222"/>
      <c r="E164" s="223"/>
      <c r="F164" s="222"/>
      <c r="G164" s="224"/>
      <c r="H164" s="225"/>
      <c r="I164" s="3"/>
      <c r="J164" s="3"/>
      <c r="K164" s="3"/>
      <c r="L164" s="3"/>
      <c r="M164" s="3"/>
      <c r="N164" s="3"/>
      <c r="O164" s="3"/>
      <c r="P164" s="3"/>
    </row>
    <row r="165" ht="16.8" customHeight="1" spans="1:16" x14ac:dyDescent="0.25">
      <c r="A165" s="3"/>
      <c r="B165" s="221"/>
      <c r="C165" s="222"/>
      <c r="D165" s="222"/>
      <c r="E165" s="223"/>
      <c r="F165" s="222"/>
      <c r="G165" s="224"/>
      <c r="H165" s="225"/>
      <c r="I165" s="3"/>
      <c r="J165" s="3"/>
      <c r="K165" s="3"/>
      <c r="L165" s="3"/>
      <c r="M165" s="3"/>
      <c r="N165" s="3"/>
      <c r="O165" s="3"/>
      <c r="P165" s="3"/>
    </row>
    <row r="166" ht="16.8" customHeight="1" spans="1:16" x14ac:dyDescent="0.25">
      <c r="A166" s="3"/>
      <c r="B166" s="221"/>
      <c r="C166" s="222"/>
      <c r="D166" s="222"/>
      <c r="E166" s="223"/>
      <c r="F166" s="222"/>
      <c r="G166" s="224"/>
      <c r="H166" s="225"/>
      <c r="I166" s="3"/>
      <c r="J166" s="3"/>
      <c r="K166" s="3"/>
      <c r="L166" s="3"/>
      <c r="M166" s="3"/>
      <c r="N166" s="3"/>
      <c r="O166" s="3"/>
      <c r="P166" s="3"/>
    </row>
    <row r="167" ht="16.8" customHeight="1" spans="1:16" x14ac:dyDescent="0.25">
      <c r="A167" s="3"/>
      <c r="B167" s="221"/>
      <c r="C167" s="222"/>
      <c r="D167" s="222"/>
      <c r="E167" s="223"/>
      <c r="F167" s="222"/>
      <c r="G167" s="224"/>
      <c r="H167" s="225"/>
      <c r="I167" s="3"/>
      <c r="J167" s="3"/>
      <c r="K167" s="3"/>
      <c r="L167" s="3"/>
      <c r="M167" s="3"/>
      <c r="N167" s="3"/>
      <c r="O167" s="3"/>
      <c r="P167" s="3"/>
    </row>
    <row r="168" ht="16.8" customHeight="1" spans="1:16" x14ac:dyDescent="0.25">
      <c r="A168" s="3"/>
      <c r="B168" s="221"/>
      <c r="C168" s="222"/>
      <c r="D168" s="222"/>
      <c r="E168" s="223"/>
      <c r="F168" s="222"/>
      <c r="G168" s="224"/>
      <c r="H168" s="225"/>
      <c r="I168" s="3"/>
      <c r="J168" s="3"/>
      <c r="K168" s="3"/>
      <c r="L168" s="3"/>
      <c r="M168" s="3"/>
      <c r="N168" s="3"/>
      <c r="O168" s="3"/>
      <c r="P168" s="3"/>
    </row>
    <row r="169" ht="16.8" customHeight="1" spans="1:16" x14ac:dyDescent="0.25">
      <c r="A169" s="3"/>
      <c r="B169" s="221"/>
      <c r="C169" s="222"/>
      <c r="D169" s="222"/>
      <c r="E169" s="223"/>
      <c r="F169" s="222"/>
      <c r="G169" s="224"/>
      <c r="H169" s="225"/>
      <c r="I169" s="3"/>
      <c r="J169" s="3"/>
      <c r="K169" s="3"/>
      <c r="L169" s="3"/>
      <c r="M169" s="3"/>
      <c r="N169" s="3"/>
      <c r="O169" s="3"/>
      <c r="P169" s="3"/>
    </row>
    <row r="170" ht="16.8" customHeight="1" spans="1:16" x14ac:dyDescent="0.25">
      <c r="A170" s="3"/>
      <c r="B170" s="221"/>
      <c r="C170" s="222"/>
      <c r="D170" s="222"/>
      <c r="E170" s="223"/>
      <c r="F170" s="222"/>
      <c r="G170" s="224"/>
      <c r="H170" s="225"/>
      <c r="I170" s="3"/>
      <c r="J170" s="3"/>
      <c r="K170" s="3"/>
      <c r="L170" s="3"/>
      <c r="M170" s="3"/>
      <c r="N170" s="3"/>
      <c r="O170" s="3"/>
      <c r="P170" s="3"/>
    </row>
    <row r="171" ht="16.8" customHeight="1" spans="1:16" x14ac:dyDescent="0.25">
      <c r="A171" s="3"/>
      <c r="B171" s="221"/>
      <c r="C171" s="222"/>
      <c r="D171" s="222"/>
      <c r="E171" s="223"/>
      <c r="F171" s="222"/>
      <c r="G171" s="224"/>
      <c r="H171" s="225"/>
      <c r="I171" s="3"/>
      <c r="J171" s="3"/>
      <c r="K171" s="3"/>
      <c r="L171" s="3"/>
      <c r="M171" s="3"/>
      <c r="N171" s="3"/>
      <c r="O171" s="3"/>
      <c r="P171" s="3"/>
    </row>
    <row r="172" ht="16.8" customHeight="1" spans="1:16" x14ac:dyDescent="0.25">
      <c r="A172" s="3"/>
      <c r="B172" s="221"/>
      <c r="C172" s="222"/>
      <c r="D172" s="222"/>
      <c r="E172" s="223"/>
      <c r="F172" s="222"/>
      <c r="G172" s="224"/>
      <c r="H172" s="225"/>
      <c r="I172" s="3"/>
      <c r="J172" s="3"/>
      <c r="K172" s="3"/>
      <c r="L172" s="3"/>
      <c r="M172" s="3"/>
      <c r="N172" s="3"/>
      <c r="O172" s="3"/>
      <c r="P172" s="3"/>
    </row>
    <row r="173" ht="16.8" customHeight="1" spans="1:16" x14ac:dyDescent="0.25">
      <c r="A173" s="3"/>
      <c r="B173" s="221"/>
      <c r="C173" s="222"/>
      <c r="D173" s="222"/>
      <c r="E173" s="223"/>
      <c r="F173" s="222"/>
      <c r="G173" s="224"/>
      <c r="H173" s="225"/>
      <c r="I173" s="3"/>
      <c r="J173" s="3"/>
      <c r="K173" s="3"/>
      <c r="L173" s="3"/>
      <c r="M173" s="3"/>
      <c r="N173" s="3"/>
      <c r="O173" s="3"/>
      <c r="P173" s="3"/>
    </row>
    <row r="174" ht="16.8" customHeight="1" spans="1:16" x14ac:dyDescent="0.25">
      <c r="A174" s="3"/>
      <c r="B174" s="221"/>
      <c r="C174" s="222"/>
      <c r="D174" s="222"/>
      <c r="E174" s="223"/>
      <c r="F174" s="222"/>
      <c r="G174" s="224"/>
      <c r="H174" s="225"/>
      <c r="I174" s="3"/>
      <c r="J174" s="3"/>
      <c r="K174" s="3"/>
      <c r="L174" s="3"/>
      <c r="M174" s="3"/>
      <c r="N174" s="3"/>
      <c r="O174" s="3"/>
      <c r="P174" s="3"/>
    </row>
    <row r="175" ht="16.8" customHeight="1" spans="1:16" x14ac:dyDescent="0.25">
      <c r="A175" s="3"/>
      <c r="B175" s="221"/>
      <c r="C175" s="222"/>
      <c r="D175" s="222"/>
      <c r="E175" s="223"/>
      <c r="F175" s="222"/>
      <c r="G175" s="224"/>
      <c r="H175" s="225"/>
      <c r="I175" s="3"/>
      <c r="J175" s="3"/>
      <c r="K175" s="3"/>
      <c r="L175" s="3"/>
      <c r="M175" s="3"/>
      <c r="N175" s="3"/>
      <c r="O175" s="3"/>
      <c r="P175" s="3"/>
    </row>
    <row r="176" ht="16.8" customHeight="1" spans="1:16" x14ac:dyDescent="0.25">
      <c r="A176" s="3"/>
      <c r="B176" s="221"/>
      <c r="C176" s="222"/>
      <c r="D176" s="222"/>
      <c r="E176" s="223"/>
      <c r="F176" s="222"/>
      <c r="G176" s="224"/>
      <c r="H176" s="225"/>
      <c r="I176" s="3"/>
      <c r="J176" s="3"/>
      <c r="K176" s="3"/>
      <c r="L176" s="3"/>
      <c r="M176" s="3"/>
      <c r="N176" s="3"/>
      <c r="O176" s="3"/>
      <c r="P176" s="3"/>
    </row>
    <row r="177" ht="16.8" customHeight="1" spans="1:16" x14ac:dyDescent="0.25">
      <c r="A177" s="3"/>
      <c r="B177" s="221"/>
      <c r="C177" s="222"/>
      <c r="D177" s="222"/>
      <c r="E177" s="223"/>
      <c r="F177" s="222"/>
      <c r="G177" s="224"/>
      <c r="H177" s="225"/>
      <c r="I177" s="3"/>
      <c r="J177" s="3"/>
      <c r="K177" s="3"/>
      <c r="L177" s="3"/>
      <c r="M177" s="3"/>
      <c r="N177" s="3"/>
      <c r="O177" s="3"/>
      <c r="P177" s="3"/>
    </row>
    <row r="178" ht="16.8" customHeight="1" spans="1:16" x14ac:dyDescent="0.25">
      <c r="A178" s="3"/>
      <c r="B178" s="221"/>
      <c r="C178" s="222"/>
      <c r="D178" s="222"/>
      <c r="E178" s="223"/>
      <c r="F178" s="222"/>
      <c r="G178" s="224"/>
      <c r="H178" s="225"/>
      <c r="I178" s="3"/>
      <c r="J178" s="3"/>
      <c r="K178" s="3"/>
      <c r="L178" s="3"/>
      <c r="M178" s="3"/>
      <c r="N178" s="3"/>
      <c r="O178" s="3"/>
      <c r="P178" s="3"/>
    </row>
    <row r="179" ht="16.8" customHeight="1" spans="1:16" x14ac:dyDescent="0.25">
      <c r="A179" s="3"/>
      <c r="B179" s="221"/>
      <c r="C179" s="222"/>
      <c r="D179" s="222"/>
      <c r="E179" s="223"/>
      <c r="F179" s="222"/>
      <c r="G179" s="224"/>
      <c r="H179" s="225"/>
      <c r="I179" s="3"/>
      <c r="J179" s="3"/>
      <c r="K179" s="3"/>
      <c r="L179" s="3"/>
      <c r="M179" s="3"/>
      <c r="N179" s="3"/>
      <c r="O179" s="3"/>
      <c r="P179" s="3"/>
    </row>
    <row r="180" ht="16.8" customHeight="1" spans="1:16" x14ac:dyDescent="0.25">
      <c r="A180" s="3"/>
      <c r="B180" s="221"/>
      <c r="C180" s="222"/>
      <c r="D180" s="222"/>
      <c r="E180" s="223"/>
      <c r="F180" s="222"/>
      <c r="G180" s="224"/>
      <c r="H180" s="225"/>
      <c r="I180" s="3"/>
      <c r="J180" s="3"/>
      <c r="K180" s="3"/>
      <c r="L180" s="3"/>
      <c r="M180" s="3"/>
      <c r="N180" s="3"/>
      <c r="O180" s="3"/>
      <c r="P180" s="3"/>
    </row>
    <row r="181" ht="16.8" customHeight="1" spans="1:16" x14ac:dyDescent="0.25">
      <c r="A181" s="3"/>
      <c r="B181" s="221"/>
      <c r="C181" s="222"/>
      <c r="D181" s="222"/>
      <c r="E181" s="223"/>
      <c r="F181" s="222"/>
      <c r="G181" s="224"/>
      <c r="H181" s="225"/>
      <c r="I181" s="3"/>
      <c r="J181" s="3"/>
      <c r="K181" s="3"/>
      <c r="L181" s="3"/>
      <c r="M181" s="3"/>
      <c r="N181" s="3"/>
      <c r="O181" s="3"/>
      <c r="P181" s="3"/>
    </row>
    <row r="182" ht="16.8" customHeight="1" spans="1:16" x14ac:dyDescent="0.25">
      <c r="A182" s="3"/>
      <c r="B182" s="221"/>
      <c r="C182" s="222"/>
      <c r="D182" s="222"/>
      <c r="E182" s="223"/>
      <c r="F182" s="222"/>
      <c r="G182" s="224"/>
      <c r="H182" s="225"/>
      <c r="I182" s="3"/>
      <c r="J182" s="3"/>
      <c r="K182" s="3"/>
      <c r="L182" s="3"/>
      <c r="M182" s="3"/>
      <c r="N182" s="3"/>
      <c r="O182" s="3"/>
      <c r="P182" s="3"/>
    </row>
    <row r="183" ht="16.8" customHeight="1" spans="1:16" x14ac:dyDescent="0.25">
      <c r="A183" s="3"/>
      <c r="B183" s="221"/>
      <c r="C183" s="222"/>
      <c r="D183" s="222"/>
      <c r="E183" s="223"/>
      <c r="F183" s="222"/>
      <c r="G183" s="224"/>
      <c r="H183" s="225"/>
      <c r="I183" s="3"/>
      <c r="J183" s="3"/>
      <c r="K183" s="3"/>
      <c r="L183" s="3"/>
      <c r="M183" s="3"/>
      <c r="N183" s="3"/>
      <c r="O183" s="3"/>
      <c r="P183" s="3"/>
    </row>
    <row r="184" ht="16.8" customHeight="1" spans="1:16" x14ac:dyDescent="0.25">
      <c r="A184" s="3"/>
      <c r="B184" s="221"/>
      <c r="C184" s="222"/>
      <c r="D184" s="222"/>
      <c r="E184" s="223"/>
      <c r="F184" s="222"/>
      <c r="G184" s="224"/>
      <c r="H184" s="225"/>
      <c r="I184" s="3"/>
      <c r="J184" s="3"/>
      <c r="K184" s="3"/>
      <c r="L184" s="3"/>
      <c r="M184" s="3"/>
      <c r="N184" s="3"/>
      <c r="O184" s="3"/>
      <c r="P184" s="3"/>
    </row>
    <row r="185" ht="16.8" customHeight="1" spans="1:16" x14ac:dyDescent="0.25">
      <c r="A185" s="3"/>
      <c r="B185" s="221"/>
      <c r="C185" s="222"/>
      <c r="D185" s="222"/>
      <c r="E185" s="223"/>
      <c r="F185" s="222"/>
      <c r="G185" s="224"/>
      <c r="H185" s="225"/>
      <c r="I185" s="3"/>
      <c r="J185" s="3"/>
      <c r="K185" s="3"/>
      <c r="L185" s="3"/>
      <c r="M185" s="3"/>
      <c r="N185" s="3"/>
      <c r="O185" s="3"/>
      <c r="P185" s="3"/>
    </row>
    <row r="186" ht="16.8" customHeight="1" spans="1:16" x14ac:dyDescent="0.25">
      <c r="A186" s="3"/>
      <c r="B186" s="221"/>
      <c r="C186" s="222"/>
      <c r="D186" s="222"/>
      <c r="E186" s="223"/>
      <c r="F186" s="222"/>
      <c r="G186" s="224"/>
      <c r="H186" s="225"/>
      <c r="I186" s="3"/>
      <c r="J186" s="3"/>
      <c r="K186" s="3"/>
      <c r="L186" s="3"/>
      <c r="M186" s="3"/>
      <c r="N186" s="3"/>
      <c r="O186" s="3"/>
      <c r="P186" s="3"/>
    </row>
    <row r="187" ht="16.8" customHeight="1" spans="1:16" x14ac:dyDescent="0.25">
      <c r="A187" s="3"/>
      <c r="B187" s="221"/>
      <c r="C187" s="222"/>
      <c r="D187" s="222"/>
      <c r="E187" s="223"/>
      <c r="F187" s="222"/>
      <c r="G187" s="224"/>
      <c r="H187" s="225"/>
      <c r="I187" s="3"/>
      <c r="J187" s="3"/>
      <c r="K187" s="3"/>
      <c r="L187" s="3"/>
      <c r="M187" s="3"/>
      <c r="N187" s="3"/>
      <c r="O187" s="3"/>
      <c r="P187" s="3"/>
    </row>
    <row r="188" ht="16.8" customHeight="1" spans="1:16" x14ac:dyDescent="0.25">
      <c r="A188" s="3"/>
      <c r="B188" s="221"/>
      <c r="C188" s="222"/>
      <c r="D188" s="222"/>
      <c r="E188" s="223"/>
      <c r="F188" s="222"/>
      <c r="G188" s="224"/>
      <c r="H188" s="225"/>
      <c r="I188" s="3"/>
      <c r="J188" s="3"/>
      <c r="K188" s="3"/>
      <c r="L188" s="3"/>
      <c r="M188" s="3"/>
      <c r="N188" s="3"/>
      <c r="O188" s="3"/>
      <c r="P188" s="3"/>
    </row>
    <row r="189" ht="16.8" customHeight="1" spans="1:16" x14ac:dyDescent="0.25">
      <c r="A189" s="3"/>
      <c r="B189" s="221"/>
      <c r="C189" s="222"/>
      <c r="D189" s="222"/>
      <c r="E189" s="223"/>
      <c r="F189" s="222"/>
      <c r="G189" s="224"/>
      <c r="H189" s="225"/>
      <c r="I189" s="3"/>
      <c r="J189" s="3"/>
      <c r="K189" s="3"/>
      <c r="L189" s="3"/>
      <c r="M189" s="3"/>
      <c r="N189" s="3"/>
      <c r="O189" s="3"/>
      <c r="P189" s="3"/>
    </row>
    <row r="190" ht="16.8" customHeight="1" spans="1:16" x14ac:dyDescent="0.25">
      <c r="A190" s="3"/>
      <c r="B190" s="221"/>
      <c r="C190" s="222"/>
      <c r="D190" s="222"/>
      <c r="E190" s="223"/>
      <c r="F190" s="222"/>
      <c r="G190" s="224"/>
      <c r="H190" s="225"/>
      <c r="I190" s="3"/>
      <c r="J190" s="3"/>
      <c r="K190" s="3"/>
      <c r="L190" s="3"/>
      <c r="M190" s="3"/>
      <c r="N190" s="3"/>
      <c r="O190" s="3"/>
      <c r="P190" s="3"/>
    </row>
    <row r="191" ht="16.8" customHeight="1" spans="1:16" x14ac:dyDescent="0.25">
      <c r="A191" s="3"/>
      <c r="B191" s="221"/>
      <c r="C191" s="222"/>
      <c r="D191" s="222"/>
      <c r="E191" s="223"/>
      <c r="F191" s="222"/>
      <c r="G191" s="224"/>
      <c r="H191" s="225"/>
      <c r="I191" s="3"/>
      <c r="J191" s="3"/>
      <c r="K191" s="3"/>
      <c r="L191" s="3"/>
      <c r="M191" s="3"/>
      <c r="N191" s="3"/>
      <c r="O191" s="3"/>
      <c r="P191" s="3"/>
    </row>
    <row r="192" ht="16.8" customHeight="1" spans="1:16" x14ac:dyDescent="0.25">
      <c r="A192" s="3"/>
      <c r="B192" s="221"/>
      <c r="C192" s="222"/>
      <c r="D192" s="222"/>
      <c r="E192" s="223"/>
      <c r="F192" s="222"/>
      <c r="G192" s="224"/>
      <c r="H192" s="225"/>
      <c r="I192" s="3"/>
      <c r="J192" s="3"/>
      <c r="K192" s="3"/>
      <c r="L192" s="3"/>
      <c r="M192" s="3"/>
      <c r="N192" s="3"/>
      <c r="O192" s="3"/>
      <c r="P192" s="3"/>
    </row>
    <row r="193" ht="16.8" customHeight="1" spans="1:16" x14ac:dyDescent="0.25">
      <c r="A193" s="3"/>
      <c r="B193" s="221"/>
      <c r="C193" s="222"/>
      <c r="D193" s="222"/>
      <c r="E193" s="223"/>
      <c r="F193" s="222"/>
      <c r="G193" s="224"/>
      <c r="H193" s="225"/>
      <c r="I193" s="3"/>
      <c r="J193" s="3"/>
      <c r="K193" s="3"/>
      <c r="L193" s="3"/>
      <c r="M193" s="3"/>
      <c r="N193" s="3"/>
      <c r="O193" s="3"/>
      <c r="P193" s="3"/>
    </row>
    <row r="194" ht="16.8" customHeight="1" spans="1:16" x14ac:dyDescent="0.25">
      <c r="A194" s="3"/>
      <c r="B194" s="221"/>
      <c r="C194" s="222"/>
      <c r="D194" s="222"/>
      <c r="E194" s="223"/>
      <c r="F194" s="222"/>
      <c r="G194" s="224"/>
      <c r="H194" s="225"/>
      <c r="I194" s="3"/>
      <c r="J194" s="3"/>
      <c r="K194" s="3"/>
      <c r="L194" s="3"/>
      <c r="M194" s="3"/>
      <c r="N194" s="3"/>
      <c r="O194" s="3"/>
      <c r="P194" s="3"/>
    </row>
    <row r="195" ht="16.8" customHeight="1" spans="1:16" x14ac:dyDescent="0.25">
      <c r="A195" s="3"/>
      <c r="B195" s="221"/>
      <c r="C195" s="222"/>
      <c r="D195" s="222"/>
      <c r="E195" s="223"/>
      <c r="F195" s="222"/>
      <c r="G195" s="224"/>
      <c r="H195" s="225"/>
      <c r="I195" s="3"/>
      <c r="J195" s="3"/>
      <c r="K195" s="3"/>
      <c r="L195" s="3"/>
      <c r="M195" s="3"/>
      <c r="N195" s="3"/>
      <c r="O195" s="3"/>
      <c r="P195" s="3"/>
    </row>
    <row r="196" ht="16.8" customHeight="1" spans="1:16" x14ac:dyDescent="0.25">
      <c r="A196" s="3"/>
      <c r="B196" s="221"/>
      <c r="C196" s="222"/>
      <c r="D196" s="222"/>
      <c r="E196" s="223"/>
      <c r="F196" s="222"/>
      <c r="G196" s="224"/>
      <c r="H196" s="225"/>
      <c r="I196" s="3"/>
      <c r="J196" s="3"/>
      <c r="K196" s="3"/>
      <c r="L196" s="3"/>
      <c r="M196" s="3"/>
      <c r="N196" s="3"/>
      <c r="O196" s="3"/>
      <c r="P196" s="3"/>
    </row>
    <row r="197" ht="16.8" customHeight="1" spans="1:16" x14ac:dyDescent="0.25">
      <c r="A197" s="3"/>
      <c r="B197" s="221"/>
      <c r="C197" s="222"/>
      <c r="D197" s="222"/>
      <c r="E197" s="223"/>
      <c r="F197" s="222"/>
      <c r="G197" s="224"/>
      <c r="H197" s="225"/>
      <c r="I197" s="3"/>
      <c r="J197" s="3"/>
      <c r="K197" s="3"/>
      <c r="L197" s="3"/>
      <c r="M197" s="3"/>
      <c r="N197" s="3"/>
      <c r="O197" s="3"/>
      <c r="P197" s="3"/>
    </row>
    <row r="198" ht="16.8" customHeight="1" spans="1:16" x14ac:dyDescent="0.25">
      <c r="A198" s="3"/>
      <c r="B198" s="221"/>
      <c r="C198" s="222"/>
      <c r="D198" s="222"/>
      <c r="E198" s="223"/>
      <c r="F198" s="222"/>
      <c r="G198" s="224"/>
      <c r="H198" s="225"/>
      <c r="I198" s="3"/>
      <c r="J198" s="3"/>
      <c r="K198" s="3"/>
      <c r="L198" s="3"/>
      <c r="M198" s="3"/>
      <c r="N198" s="3"/>
      <c r="O198" s="3"/>
      <c r="P198" s="3"/>
    </row>
    <row r="199" ht="16.8" customHeight="1" spans="1:16" x14ac:dyDescent="0.25">
      <c r="A199" s="3"/>
      <c r="B199" s="221"/>
      <c r="C199" s="222"/>
      <c r="D199" s="222"/>
      <c r="E199" s="223"/>
      <c r="F199" s="222"/>
      <c r="G199" s="224"/>
      <c r="H199" s="225"/>
      <c r="I199" s="3"/>
      <c r="J199" s="3"/>
      <c r="K199" s="3"/>
      <c r="L199" s="3"/>
      <c r="M199" s="3"/>
      <c r="N199" s="3"/>
      <c r="O199" s="3"/>
      <c r="P199" s="3"/>
    </row>
    <row r="200" ht="16.8" customHeight="1" spans="1:16" x14ac:dyDescent="0.25">
      <c r="A200" s="3"/>
      <c r="B200" s="221"/>
      <c r="C200" s="222"/>
      <c r="D200" s="222"/>
      <c r="E200" s="223"/>
      <c r="F200" s="222"/>
      <c r="G200" s="224"/>
      <c r="H200" s="225"/>
      <c r="I200" s="3"/>
      <c r="J200" s="3"/>
      <c r="K200" s="3"/>
      <c r="L200" s="3"/>
      <c r="M200" s="3"/>
      <c r="N200" s="3"/>
      <c r="O200" s="3"/>
      <c r="P200" s="3"/>
    </row>
    <row r="201" ht="16.8" customHeight="1" spans="1:16" x14ac:dyDescent="0.25">
      <c r="A201" s="3"/>
      <c r="B201" s="221"/>
      <c r="C201" s="222"/>
      <c r="D201" s="222"/>
      <c r="E201" s="223"/>
      <c r="F201" s="222"/>
      <c r="G201" s="224"/>
      <c r="H201" s="225"/>
      <c r="I201" s="3"/>
      <c r="J201" s="3"/>
      <c r="K201" s="3"/>
      <c r="L201" s="3"/>
      <c r="M201" s="3"/>
      <c r="N201" s="3"/>
      <c r="O201" s="3"/>
      <c r="P201" s="3"/>
    </row>
    <row r="202" ht="16.8" customHeight="1" spans="1:16" x14ac:dyDescent="0.25">
      <c r="A202" s="3"/>
      <c r="B202" s="221"/>
      <c r="C202" s="222"/>
      <c r="D202" s="222"/>
      <c r="E202" s="223"/>
      <c r="F202" s="222"/>
      <c r="G202" s="224"/>
      <c r="H202" s="225"/>
      <c r="I202" s="3"/>
      <c r="J202" s="3"/>
      <c r="K202" s="3"/>
      <c r="L202" s="3"/>
      <c r="M202" s="3"/>
      <c r="N202" s="3"/>
      <c r="O202" s="3"/>
      <c r="P202" s="3"/>
    </row>
    <row r="203" ht="16.8" customHeight="1" spans="1:16" x14ac:dyDescent="0.25">
      <c r="A203" s="3"/>
      <c r="B203" s="221"/>
      <c r="C203" s="222"/>
      <c r="D203" s="222"/>
      <c r="E203" s="223"/>
      <c r="F203" s="222"/>
      <c r="G203" s="224"/>
      <c r="H203" s="225"/>
      <c r="I203" s="3"/>
      <c r="J203" s="3"/>
      <c r="K203" s="3"/>
      <c r="L203" s="3"/>
      <c r="M203" s="3"/>
      <c r="N203" s="3"/>
      <c r="O203" s="3"/>
      <c r="P203" s="3"/>
    </row>
    <row r="204" ht="16.8" customHeight="1" spans="1:16" x14ac:dyDescent="0.25">
      <c r="A204" s="3"/>
      <c r="B204" s="221"/>
      <c r="C204" s="222"/>
      <c r="D204" s="222"/>
      <c r="E204" s="223"/>
      <c r="F204" s="222"/>
      <c r="G204" s="224"/>
      <c r="H204" s="225"/>
      <c r="I204" s="3"/>
      <c r="J204" s="3"/>
      <c r="K204" s="3"/>
      <c r="L204" s="3"/>
      <c r="M204" s="3"/>
      <c r="N204" s="3"/>
      <c r="O204" s="3"/>
      <c r="P204" s="3"/>
    </row>
    <row r="205" ht="16.8" customHeight="1" spans="1:16" x14ac:dyDescent="0.25">
      <c r="A205" s="3"/>
      <c r="B205" s="221"/>
      <c r="C205" s="222"/>
      <c r="D205" s="222"/>
      <c r="E205" s="223"/>
      <c r="F205" s="222"/>
      <c r="G205" s="224"/>
      <c r="H205" s="225"/>
      <c r="I205" s="3"/>
      <c r="J205" s="3"/>
      <c r="K205" s="3"/>
      <c r="L205" s="3"/>
      <c r="M205" s="3"/>
      <c r="N205" s="3"/>
      <c r="O205" s="3"/>
      <c r="P205" s="3"/>
    </row>
    <row r="206" ht="16.8" customHeight="1" spans="1:16" x14ac:dyDescent="0.25">
      <c r="A206" s="3"/>
      <c r="B206" s="221"/>
      <c r="C206" s="222"/>
      <c r="D206" s="222"/>
      <c r="E206" s="223"/>
      <c r="F206" s="222"/>
      <c r="G206" s="224"/>
      <c r="H206" s="225"/>
      <c r="I206" s="3"/>
      <c r="J206" s="3"/>
      <c r="K206" s="3"/>
      <c r="L206" s="3"/>
      <c r="M206" s="3"/>
      <c r="N206" s="3"/>
      <c r="O206" s="3"/>
      <c r="P206" s="3"/>
    </row>
    <row r="207" ht="16.8" customHeight="1" spans="1:16" x14ac:dyDescent="0.25">
      <c r="A207" s="3"/>
      <c r="B207" s="221"/>
      <c r="C207" s="222"/>
      <c r="D207" s="222"/>
      <c r="E207" s="223"/>
      <c r="F207" s="222"/>
      <c r="G207" s="224"/>
      <c r="H207" s="225"/>
      <c r="I207" s="3"/>
      <c r="J207" s="3"/>
      <c r="K207" s="3"/>
      <c r="L207" s="3"/>
      <c r="M207" s="3"/>
      <c r="N207" s="3"/>
      <c r="O207" s="3"/>
      <c r="P207" s="3"/>
    </row>
    <row r="208" ht="16.8" customHeight="1" spans="1:16" x14ac:dyDescent="0.25">
      <c r="A208" s="3"/>
      <c r="B208" s="221"/>
      <c r="C208" s="222"/>
      <c r="D208" s="222"/>
      <c r="E208" s="223"/>
      <c r="F208" s="222"/>
      <c r="G208" s="224"/>
      <c r="H208" s="225"/>
      <c r="I208" s="3"/>
      <c r="J208" s="3"/>
      <c r="K208" s="3"/>
      <c r="L208" s="3"/>
      <c r="M208" s="3"/>
      <c r="N208" s="3"/>
      <c r="O208" s="3"/>
      <c r="P208" s="3"/>
    </row>
    <row r="209" ht="16.8" customHeight="1" spans="1:16" x14ac:dyDescent="0.25">
      <c r="A209" s="3"/>
      <c r="B209" s="221"/>
      <c r="C209" s="222"/>
      <c r="D209" s="222"/>
      <c r="E209" s="223"/>
      <c r="F209" s="222"/>
      <c r="G209" s="224"/>
      <c r="H209" s="225"/>
      <c r="I209" s="3"/>
      <c r="J209" s="3"/>
      <c r="K209" s="3"/>
      <c r="L209" s="3"/>
      <c r="M209" s="3"/>
      <c r="N209" s="3"/>
      <c r="O209" s="3"/>
      <c r="P209" s="3"/>
    </row>
    <row r="210" ht="16.8" customHeight="1" spans="1:16" x14ac:dyDescent="0.25">
      <c r="A210" s="3"/>
      <c r="B210" s="221"/>
      <c r="C210" s="222"/>
      <c r="D210" s="222"/>
      <c r="E210" s="223"/>
      <c r="F210" s="222"/>
      <c r="G210" s="224"/>
      <c r="H210" s="225"/>
      <c r="I210" s="3"/>
      <c r="J210" s="3"/>
      <c r="K210" s="3"/>
      <c r="L210" s="3"/>
      <c r="M210" s="3"/>
      <c r="N210" s="3"/>
      <c r="O210" s="3"/>
      <c r="P210" s="3"/>
    </row>
    <row r="211" ht="16.8" customHeight="1" spans="1:16" x14ac:dyDescent="0.25">
      <c r="A211" s="3"/>
      <c r="B211" s="221"/>
      <c r="C211" s="222"/>
      <c r="D211" s="222"/>
      <c r="E211" s="223"/>
      <c r="F211" s="222"/>
      <c r="G211" s="224"/>
      <c r="H211" s="225"/>
      <c r="I211" s="3"/>
      <c r="J211" s="3"/>
      <c r="K211" s="3"/>
      <c r="L211" s="3"/>
      <c r="M211" s="3"/>
      <c r="N211" s="3"/>
      <c r="O211" s="3"/>
      <c r="P211" s="3"/>
    </row>
    <row r="212" ht="16.8" customHeight="1" spans="1:16" x14ac:dyDescent="0.25">
      <c r="A212" s="3"/>
      <c r="B212" s="221"/>
      <c r="C212" s="222"/>
      <c r="D212" s="222"/>
      <c r="E212" s="223"/>
      <c r="F212" s="222"/>
      <c r="G212" s="224"/>
      <c r="H212" s="225"/>
      <c r="I212" s="3"/>
      <c r="J212" s="3"/>
      <c r="K212" s="3"/>
      <c r="L212" s="3"/>
      <c r="M212" s="3"/>
      <c r="N212" s="3"/>
      <c r="O212" s="3"/>
      <c r="P212" s="3"/>
    </row>
    <row r="213" ht="16.8" customHeight="1" spans="1:16" x14ac:dyDescent="0.25">
      <c r="A213" s="3"/>
      <c r="B213" s="221"/>
      <c r="C213" s="222"/>
      <c r="D213" s="222"/>
      <c r="E213" s="223"/>
      <c r="F213" s="222"/>
      <c r="G213" s="224"/>
      <c r="H213" s="225"/>
      <c r="I213" s="3"/>
      <c r="J213" s="3"/>
      <c r="K213" s="3"/>
      <c r="L213" s="3"/>
      <c r="M213" s="3"/>
      <c r="N213" s="3"/>
      <c r="O213" s="3"/>
      <c r="P213" s="3"/>
    </row>
    <row r="214" ht="16.8" customHeight="1" spans="1:16" x14ac:dyDescent="0.25">
      <c r="A214" s="3"/>
      <c r="B214" s="221"/>
      <c r="C214" s="222"/>
      <c r="D214" s="222"/>
      <c r="E214" s="223"/>
      <c r="F214" s="222"/>
      <c r="G214" s="224"/>
      <c r="H214" s="225"/>
      <c r="I214" s="3"/>
      <c r="J214" s="3"/>
      <c r="K214" s="3"/>
      <c r="L214" s="3"/>
      <c r="M214" s="3"/>
      <c r="N214" s="3"/>
      <c r="O214" s="3"/>
      <c r="P214" s="3"/>
    </row>
    <row r="215" ht="16.8" customHeight="1" spans="1:16" x14ac:dyDescent="0.25">
      <c r="A215" s="3"/>
      <c r="B215" s="221"/>
      <c r="C215" s="222"/>
      <c r="D215" s="222"/>
      <c r="E215" s="223"/>
      <c r="F215" s="222"/>
      <c r="G215" s="224"/>
      <c r="H215" s="225"/>
      <c r="I215" s="3"/>
      <c r="J215" s="3"/>
      <c r="K215" s="3"/>
      <c r="L215" s="3"/>
      <c r="M215" s="3"/>
      <c r="N215" s="3"/>
      <c r="O215" s="3"/>
      <c r="P215" s="3"/>
    </row>
    <row r="216" ht="16.8" customHeight="1" spans="1:16" x14ac:dyDescent="0.25">
      <c r="A216" s="3"/>
      <c r="B216" s="221"/>
      <c r="C216" s="222"/>
      <c r="D216" s="222"/>
      <c r="E216" s="223"/>
      <c r="F216" s="222"/>
      <c r="G216" s="224"/>
      <c r="H216" s="225"/>
      <c r="I216" s="3"/>
      <c r="J216" s="3"/>
      <c r="K216" s="3"/>
      <c r="L216" s="3"/>
      <c r="M216" s="3"/>
      <c r="N216" s="3"/>
      <c r="O216" s="3"/>
      <c r="P216" s="3"/>
    </row>
    <row r="217" ht="16.8" customHeight="1" spans="1:16" x14ac:dyDescent="0.25">
      <c r="A217" s="3"/>
      <c r="B217" s="221"/>
      <c r="C217" s="222"/>
      <c r="D217" s="222"/>
      <c r="E217" s="223"/>
      <c r="F217" s="222"/>
      <c r="G217" s="224"/>
      <c r="H217" s="225"/>
      <c r="I217" s="3"/>
      <c r="J217" s="3"/>
      <c r="K217" s="3"/>
      <c r="L217" s="3"/>
      <c r="M217" s="3"/>
      <c r="N217" s="3"/>
      <c r="O217" s="3"/>
      <c r="P217" s="3"/>
    </row>
    <row r="218" ht="16.8" customHeight="1" spans="1:16" x14ac:dyDescent="0.25">
      <c r="A218" s="3"/>
      <c r="B218" s="221"/>
      <c r="C218" s="222"/>
      <c r="D218" s="222"/>
      <c r="E218" s="223"/>
      <c r="F218" s="222"/>
      <c r="G218" s="224"/>
      <c r="H218" s="225"/>
      <c r="I218" s="3"/>
      <c r="J218" s="3"/>
      <c r="K218" s="3"/>
      <c r="L218" s="3"/>
      <c r="M218" s="3"/>
      <c r="N218" s="3"/>
      <c r="O218" s="3"/>
      <c r="P218" s="3"/>
    </row>
    <row r="219" ht="16.8" customHeight="1" spans="1:16" x14ac:dyDescent="0.25">
      <c r="A219" s="3"/>
      <c r="B219" s="221"/>
      <c r="C219" s="222"/>
      <c r="D219" s="222"/>
      <c r="E219" s="223"/>
      <c r="F219" s="222"/>
      <c r="G219" s="224"/>
      <c r="H219" s="225"/>
      <c r="I219" s="3"/>
      <c r="J219" s="3"/>
      <c r="K219" s="3"/>
      <c r="L219" s="3"/>
      <c r="M219" s="3"/>
      <c r="N219" s="3"/>
      <c r="O219" s="3"/>
      <c r="P219" s="3"/>
    </row>
    <row r="220" ht="16.8" customHeight="1" spans="1:16" x14ac:dyDescent="0.25">
      <c r="A220" s="3"/>
      <c r="B220" s="221"/>
      <c r="C220" s="222"/>
      <c r="D220" s="222"/>
      <c r="E220" s="223"/>
      <c r="F220" s="222"/>
      <c r="G220" s="224"/>
      <c r="H220" s="225"/>
      <c r="I220" s="3"/>
      <c r="J220" s="3"/>
      <c r="K220" s="3"/>
      <c r="L220" s="3"/>
      <c r="M220" s="3"/>
      <c r="N220" s="3"/>
      <c r="O220" s="3"/>
      <c r="P220" s="3"/>
    </row>
    <row r="221" ht="15" customHeight="1" spans="1:1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5" customHeight="1" spans="1:1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5" customHeight="1" spans="1:1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5" customHeight="1" spans="1:1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5" customHeight="1" spans="1:1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5" customHeight="1" spans="1:1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5" customHeight="1" spans="1:1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5" customHeight="1" spans="1:1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5" customHeight="1" spans="1:1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5" customHeight="1" spans="1:1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5" customHeight="1" spans="1:1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5" customHeight="1" spans="1:1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5" customHeight="1" spans="1:1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5" customHeight="1" spans="1:1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5" customHeight="1" spans="1:1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5" customHeight="1" spans="1:1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5" customHeight="1" spans="1:1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5" customHeight="1" spans="1:1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5" customHeight="1" spans="1:1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5" customHeight="1" spans="1:1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5" customHeight="1" spans="1:1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5" customHeight="1" spans="1:1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5" customHeight="1" spans="1:1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5" customHeight="1" spans="1:1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5" customHeight="1" spans="1:1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5" customHeight="1" spans="1:1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5" customHeight="1" spans="1:1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5" customHeight="1" spans="1:1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5" customHeight="1" spans="1:1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5" customHeight="1" spans="1:1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5" customHeight="1" spans="1:1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5" customHeight="1" spans="1:1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5" customHeight="1" spans="1:1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5" customHeight="1" spans="1:1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5" customHeight="1" spans="1:1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5" customHeight="1" spans="1:1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5" customHeight="1" spans="1:1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5" customHeight="1" spans="1:1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5" customHeight="1" spans="1:1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5" customHeight="1" spans="1:1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5" customHeight="1" spans="1:1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5" customHeight="1" spans="1:1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5" customHeight="1" spans="1:1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" customHeight="1" spans="1:1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5" customHeight="1" spans="1:1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5" customHeight="1" spans="1:1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5" customHeight="1" spans="1:1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5" customHeight="1" spans="1:1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5" customHeight="1" spans="1:1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5" customHeight="1" spans="1:1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5" customHeight="1" spans="1:1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5" customHeight="1" spans="1:1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5" customHeight="1" spans="1:1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5" customHeight="1" spans="1:1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5" customHeight="1" spans="1:1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5" customHeight="1" spans="1:1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5" customHeight="1" spans="1:1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5" customHeight="1" spans="1:1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5" customHeight="1" spans="1:1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5" customHeight="1" spans="1:1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5" customHeight="1" spans="1:1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5" customHeight="1" spans="1:1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5" customHeight="1" spans="1:1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5" customHeight="1" spans="1:1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5" customHeight="1" spans="1:1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5" customHeight="1" spans="1:1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5" customHeight="1" spans="1:1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5" customHeight="1" spans="1:1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5" customHeight="1" spans="1:1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5" customHeight="1" spans="1:1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5" customHeight="1" spans="1:1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5" customHeight="1" spans="1:1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5" customHeight="1" spans="1:1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5" customHeight="1" spans="1:1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5" customHeight="1" spans="1:1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5" customHeight="1" spans="1:1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5" customHeight="1" spans="1:1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5" customHeight="1" spans="1:1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5" customHeight="1" spans="1:1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5" customHeight="1" spans="1:1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5" customHeight="1" spans="1:1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5" customHeight="1" spans="1:1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5" customHeight="1" spans="1:1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5" customHeight="1" spans="1:1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5" customHeight="1" spans="1:1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5" customHeight="1" spans="1:1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5" customHeight="1" spans="1:1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5" customHeight="1" spans="1:1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5" customHeight="1" spans="1:1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5" customHeight="1" spans="1:1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5" customHeight="1" spans="1:1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5" customHeight="1" spans="1:1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5" customHeight="1" spans="1:1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5" customHeight="1" spans="1:1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5" customHeight="1" spans="1:1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N92"/>
  <sheetViews>
    <sheetView workbookViewId="0" zoomScale="100" zoomScaleNormal="100">
      <selection activeCell="L18" sqref="L18"/>
    </sheetView>
  </sheetViews>
  <sheetFormatPr defaultRowHeight="14.4" outlineLevelRow="0" outlineLevelCol="0" x14ac:dyDescent="0.3" customHeight="1"/>
  <cols>
    <col min="4" max="4" width="10.5546875" customWidth="1"/>
    <col min="5" max="5" width="24.88671875" customWidth="1"/>
    <col min="6" max="6" width="14.88671875" customWidth="1"/>
    <col min="7" max="7" width="16" customWidth="1"/>
    <col min="8" max="8" width="13.6640625" style="234" customWidth="1"/>
    <col min="9" max="9" width="19.77734375" customWidth="1"/>
    <col min="12" max="12" width="15.33203125" customWidth="1"/>
  </cols>
  <sheetData>
    <row r="4" spans="4:9" x14ac:dyDescent="0.25">
      <c r="D4" t="s">
        <v>172</v>
      </c>
      <c r="E4" t="s">
        <v>173</v>
      </c>
      <c r="F4" t="s">
        <v>174</v>
      </c>
      <c r="G4" t="s">
        <v>175</v>
      </c>
      <c r="H4" s="234" t="s">
        <v>176</v>
      </c>
      <c r="I4" t="s">
        <v>177</v>
      </c>
    </row>
    <row r="5" spans="4:9" x14ac:dyDescent="0.25">
      <c r="D5" s="235">
        <v>46266</v>
      </c>
      <c r="E5" t="s">
        <v>178</v>
      </c>
      <c r="F5" t="s">
        <v>179</v>
      </c>
      <c r="G5">
        <v>718334</v>
      </c>
      <c r="H5" s="234">
        <v>2000000</v>
      </c>
      <c r="I5" t="s">
        <v>180</v>
      </c>
    </row>
    <row r="6" ht="21" customHeight="1" spans="4:14" x14ac:dyDescent="0.25">
      <c r="D6" s="235">
        <v>46266</v>
      </c>
      <c r="E6" t="s">
        <v>181</v>
      </c>
      <c r="F6" t="s">
        <v>182</v>
      </c>
      <c r="G6">
        <v>285843</v>
      </c>
      <c r="H6" s="234">
        <v>352000</v>
      </c>
      <c r="I6" t="s">
        <v>183</v>
      </c>
      <c r="L6" s="236">
        <f>SUM(H5:H983)</f>
        <v>88533905</v>
      </c>
      <c r="N6">
        <f>L6*0.35%</f>
        <v>309868.6675</v>
      </c>
    </row>
    <row r="7" spans="4:8" x14ac:dyDescent="0.25">
      <c r="D7" s="235">
        <v>46266</v>
      </c>
      <c r="E7" t="s">
        <v>181</v>
      </c>
      <c r="F7" t="s">
        <v>184</v>
      </c>
      <c r="H7" s="234">
        <v>141630</v>
      </c>
    </row>
    <row r="8" spans="4:8" x14ac:dyDescent="0.25">
      <c r="D8" s="235">
        <v>46266</v>
      </c>
      <c r="E8" t="s">
        <v>185</v>
      </c>
      <c r="F8" t="s">
        <v>186</v>
      </c>
      <c r="H8" s="234">
        <v>3000000</v>
      </c>
    </row>
    <row r="9" spans="4:8" x14ac:dyDescent="0.25">
      <c r="D9" s="235">
        <v>46266</v>
      </c>
      <c r="E9" t="s">
        <v>181</v>
      </c>
      <c r="F9" t="s">
        <v>187</v>
      </c>
      <c r="H9" s="234">
        <v>1000000</v>
      </c>
    </row>
    <row r="10" spans="4:8" x14ac:dyDescent="0.25">
      <c r="D10" s="235">
        <v>46266</v>
      </c>
      <c r="E10" t="s">
        <v>188</v>
      </c>
      <c r="F10" t="s">
        <v>189</v>
      </c>
      <c r="H10" s="234">
        <v>400000</v>
      </c>
    </row>
    <row r="11" spans="4:8" x14ac:dyDescent="0.25">
      <c r="D11" s="235">
        <v>46266</v>
      </c>
      <c r="E11" t="s">
        <v>181</v>
      </c>
      <c r="F11" t="s">
        <v>190</v>
      </c>
      <c r="G11" t="s">
        <v>191</v>
      </c>
      <c r="H11" s="234">
        <v>200000</v>
      </c>
    </row>
    <row r="12" spans="4:8" x14ac:dyDescent="0.25">
      <c r="D12" s="235">
        <v>46266</v>
      </c>
      <c r="E12" t="s">
        <v>181</v>
      </c>
      <c r="F12" t="s">
        <v>190</v>
      </c>
      <c r="H12" s="234">
        <v>200000</v>
      </c>
    </row>
    <row r="13" spans="4:8" x14ac:dyDescent="0.25">
      <c r="D13" s="235">
        <v>46266</v>
      </c>
      <c r="E13" t="s">
        <v>181</v>
      </c>
      <c r="F13" t="s">
        <v>192</v>
      </c>
      <c r="H13" s="234">
        <v>75800</v>
      </c>
    </row>
    <row r="14" spans="4:8" x14ac:dyDescent="0.25">
      <c r="D14" s="235">
        <v>46267</v>
      </c>
      <c r="E14" t="s">
        <v>178</v>
      </c>
      <c r="F14" t="s">
        <v>193</v>
      </c>
      <c r="H14" s="234">
        <v>2700000</v>
      </c>
    </row>
    <row r="15" spans="4:8" x14ac:dyDescent="0.25">
      <c r="D15" s="235">
        <v>46267</v>
      </c>
      <c r="E15" t="s">
        <v>194</v>
      </c>
      <c r="F15" t="s">
        <v>190</v>
      </c>
      <c r="H15" s="234">
        <v>774000</v>
      </c>
    </row>
    <row r="16" spans="4:8" x14ac:dyDescent="0.25">
      <c r="D16" s="235">
        <v>46266</v>
      </c>
      <c r="E16" t="s">
        <v>181</v>
      </c>
      <c r="F16" t="s">
        <v>190</v>
      </c>
      <c r="H16" s="234">
        <v>300000</v>
      </c>
    </row>
    <row r="17" spans="4:8" x14ac:dyDescent="0.25">
      <c r="D17" s="235">
        <v>46267</v>
      </c>
      <c r="E17" t="s">
        <v>195</v>
      </c>
      <c r="F17" t="s">
        <v>196</v>
      </c>
      <c r="H17" s="234">
        <v>40000</v>
      </c>
    </row>
    <row r="18" spans="4:8" x14ac:dyDescent="0.25">
      <c r="D18" s="235">
        <v>46267</v>
      </c>
      <c r="E18" t="s">
        <v>195</v>
      </c>
      <c r="F18" t="s">
        <v>182</v>
      </c>
      <c r="H18" s="234">
        <v>500000</v>
      </c>
    </row>
    <row r="19" spans="4:8" x14ac:dyDescent="0.25">
      <c r="D19" s="235">
        <v>46268</v>
      </c>
      <c r="E19" t="s">
        <v>194</v>
      </c>
      <c r="F19" t="s">
        <v>189</v>
      </c>
      <c r="H19" s="234">
        <v>1800000</v>
      </c>
    </row>
    <row r="20" spans="4:8" x14ac:dyDescent="0.25">
      <c r="D20" s="235">
        <v>46268</v>
      </c>
      <c r="E20" t="s">
        <v>197</v>
      </c>
      <c r="H20" s="234">
        <v>290000</v>
      </c>
    </row>
    <row r="21" spans="4:8" x14ac:dyDescent="0.25">
      <c r="D21" s="235">
        <v>46268</v>
      </c>
      <c r="E21" t="s">
        <v>197</v>
      </c>
      <c r="H21" s="234">
        <v>600000</v>
      </c>
    </row>
    <row r="22" spans="4:8" x14ac:dyDescent="0.25">
      <c r="D22" s="235">
        <v>46268</v>
      </c>
      <c r="E22" t="s">
        <v>197</v>
      </c>
      <c r="H22" s="234">
        <v>2000000</v>
      </c>
    </row>
    <row r="23" spans="4:8" x14ac:dyDescent="0.25">
      <c r="D23" s="235">
        <v>46268</v>
      </c>
      <c r="E23" t="s">
        <v>181</v>
      </c>
      <c r="H23" s="234">
        <v>400000</v>
      </c>
    </row>
    <row r="24" spans="4:8" x14ac:dyDescent="0.25">
      <c r="D24" s="235">
        <v>46268</v>
      </c>
      <c r="E24" t="s">
        <v>181</v>
      </c>
      <c r="H24" s="234">
        <v>100000</v>
      </c>
    </row>
    <row r="25" spans="4:8" x14ac:dyDescent="0.25">
      <c r="D25" s="235">
        <v>46268</v>
      </c>
      <c r="E25" t="s">
        <v>181</v>
      </c>
      <c r="H25" s="234">
        <v>128000</v>
      </c>
    </row>
    <row r="26" spans="4:8" x14ac:dyDescent="0.25">
      <c r="D26" s="235">
        <v>46268</v>
      </c>
      <c r="E26" t="s">
        <v>181</v>
      </c>
      <c r="H26" s="234">
        <v>171000</v>
      </c>
    </row>
    <row r="27" spans="4:8" x14ac:dyDescent="0.25">
      <c r="D27" s="235">
        <v>46268</v>
      </c>
      <c r="E27" t="s">
        <v>181</v>
      </c>
      <c r="H27" s="234">
        <v>13000</v>
      </c>
    </row>
    <row r="28" spans="4:8" x14ac:dyDescent="0.25">
      <c r="D28" s="235">
        <v>46268</v>
      </c>
      <c r="E28" t="s">
        <v>181</v>
      </c>
      <c r="H28" s="234">
        <v>19800</v>
      </c>
    </row>
    <row r="29" spans="4:8" x14ac:dyDescent="0.25">
      <c r="D29" s="235">
        <v>46269</v>
      </c>
      <c r="E29" t="s">
        <v>181</v>
      </c>
      <c r="H29" s="234">
        <v>3144250</v>
      </c>
    </row>
    <row r="30" spans="4:8" x14ac:dyDescent="0.25">
      <c r="D30" s="235">
        <v>46269</v>
      </c>
      <c r="E30" t="s">
        <v>181</v>
      </c>
      <c r="H30" s="234">
        <v>81250</v>
      </c>
    </row>
    <row r="31" spans="4:8" x14ac:dyDescent="0.25">
      <c r="D31" s="235">
        <v>46270</v>
      </c>
      <c r="E31" t="s">
        <v>194</v>
      </c>
      <c r="H31" s="234">
        <v>280000</v>
      </c>
    </row>
    <row r="32" spans="4:8" x14ac:dyDescent="0.25">
      <c r="D32" s="235">
        <v>46270</v>
      </c>
      <c r="E32" t="s">
        <v>181</v>
      </c>
      <c r="H32" s="234">
        <v>204887</v>
      </c>
    </row>
    <row r="33" spans="4:8" x14ac:dyDescent="0.25">
      <c r="D33" s="235">
        <v>46270</v>
      </c>
      <c r="E33" t="s">
        <v>181</v>
      </c>
      <c r="H33" s="234">
        <v>85500</v>
      </c>
    </row>
    <row r="34" spans="4:8" x14ac:dyDescent="0.25">
      <c r="D34" s="235">
        <v>46270</v>
      </c>
      <c r="E34" t="s">
        <v>194</v>
      </c>
      <c r="H34" s="234">
        <v>200000</v>
      </c>
    </row>
    <row r="35" spans="4:8" x14ac:dyDescent="0.25">
      <c r="D35" s="235">
        <v>46270</v>
      </c>
      <c r="E35" t="s">
        <v>194</v>
      </c>
      <c r="H35" s="234">
        <v>150000</v>
      </c>
    </row>
    <row r="36" spans="4:8" x14ac:dyDescent="0.25">
      <c r="D36" s="235">
        <v>46271</v>
      </c>
      <c r="E36" t="s">
        <v>181</v>
      </c>
      <c r="H36" s="234">
        <v>53009</v>
      </c>
    </row>
    <row r="37" spans="4:8" x14ac:dyDescent="0.25">
      <c r="D37" s="235">
        <v>46271</v>
      </c>
      <c r="E37" t="s">
        <v>181</v>
      </c>
      <c r="H37" s="234">
        <v>100000</v>
      </c>
    </row>
    <row r="38" spans="4:8" x14ac:dyDescent="0.25">
      <c r="D38" s="235">
        <v>46271</v>
      </c>
      <c r="E38" t="s">
        <v>195</v>
      </c>
      <c r="H38" s="234">
        <v>144529</v>
      </c>
    </row>
    <row r="39" spans="4:8" x14ac:dyDescent="0.25">
      <c r="D39" s="235">
        <v>46271</v>
      </c>
      <c r="E39" t="s">
        <v>195</v>
      </c>
      <c r="H39" s="234">
        <v>250000</v>
      </c>
    </row>
    <row r="40" spans="4:8" x14ac:dyDescent="0.25">
      <c r="D40" s="235">
        <v>46271</v>
      </c>
      <c r="E40" t="s">
        <v>195</v>
      </c>
      <c r="H40" s="234">
        <v>100120</v>
      </c>
    </row>
    <row r="41" spans="4:8" x14ac:dyDescent="0.25">
      <c r="D41" s="235">
        <v>46272</v>
      </c>
      <c r="E41" t="s">
        <v>181</v>
      </c>
      <c r="H41" s="234">
        <v>1000000</v>
      </c>
    </row>
    <row r="42" spans="4:8" x14ac:dyDescent="0.25">
      <c r="D42" s="235">
        <v>46272</v>
      </c>
      <c r="E42" t="s">
        <v>181</v>
      </c>
      <c r="H42" s="234">
        <v>64000</v>
      </c>
    </row>
    <row r="43" spans="4:8" x14ac:dyDescent="0.25">
      <c r="D43" s="235">
        <v>46272</v>
      </c>
      <c r="E43" t="s">
        <v>181</v>
      </c>
      <c r="H43" s="234">
        <v>320000</v>
      </c>
    </row>
    <row r="44" spans="4:8" x14ac:dyDescent="0.25">
      <c r="D44" s="235">
        <v>46272</v>
      </c>
      <c r="E44" t="s">
        <v>113</v>
      </c>
      <c r="H44" s="234">
        <v>5000000</v>
      </c>
    </row>
    <row r="45" spans="4:8" x14ac:dyDescent="0.25">
      <c r="D45" s="235">
        <v>46272</v>
      </c>
      <c r="E45" t="s">
        <v>194</v>
      </c>
      <c r="H45" s="234">
        <v>100000</v>
      </c>
    </row>
    <row r="46" spans="4:8" x14ac:dyDescent="0.25">
      <c r="D46" s="235">
        <v>46272</v>
      </c>
      <c r="E46" t="s">
        <v>194</v>
      </c>
      <c r="H46" s="234">
        <v>550000</v>
      </c>
    </row>
    <row r="47" spans="4:8" x14ac:dyDescent="0.25">
      <c r="D47" s="235">
        <v>46272</v>
      </c>
      <c r="E47" t="s">
        <v>181</v>
      </c>
      <c r="H47" s="234">
        <v>200000</v>
      </c>
    </row>
    <row r="48" spans="4:8" x14ac:dyDescent="0.25">
      <c r="D48" s="235">
        <v>46272</v>
      </c>
      <c r="E48" t="s">
        <v>181</v>
      </c>
      <c r="H48" s="234">
        <v>45300</v>
      </c>
    </row>
    <row r="49" spans="4:8" x14ac:dyDescent="0.25">
      <c r="D49" s="235">
        <v>46272</v>
      </c>
      <c r="E49" t="s">
        <v>198</v>
      </c>
      <c r="H49" s="234">
        <v>1769000</v>
      </c>
    </row>
    <row r="50" spans="4:8" x14ac:dyDescent="0.25">
      <c r="D50" s="235">
        <v>46272</v>
      </c>
      <c r="E50" t="s">
        <v>185</v>
      </c>
      <c r="H50" s="234">
        <v>3000000</v>
      </c>
    </row>
    <row r="51" spans="4:8" x14ac:dyDescent="0.25">
      <c r="D51" s="235">
        <v>46272</v>
      </c>
      <c r="E51" t="s">
        <v>113</v>
      </c>
      <c r="H51" s="234">
        <v>5000000</v>
      </c>
    </row>
    <row r="52" spans="4:8" x14ac:dyDescent="0.25">
      <c r="D52" s="235">
        <v>46273</v>
      </c>
      <c r="E52" t="s">
        <v>181</v>
      </c>
      <c r="H52" s="234">
        <v>100000</v>
      </c>
    </row>
    <row r="53" spans="4:8" x14ac:dyDescent="0.25">
      <c r="D53" s="235">
        <v>46273</v>
      </c>
      <c r="E53" t="s">
        <v>181</v>
      </c>
      <c r="H53" s="234">
        <v>1170700</v>
      </c>
    </row>
    <row r="54" spans="4:8" x14ac:dyDescent="0.25">
      <c r="D54" s="235">
        <v>46273</v>
      </c>
      <c r="E54" t="s">
        <v>181</v>
      </c>
      <c r="H54" s="234">
        <v>114000</v>
      </c>
    </row>
    <row r="55" spans="4:8" x14ac:dyDescent="0.25">
      <c r="D55" s="235">
        <v>46273</v>
      </c>
      <c r="E55" t="s">
        <v>178</v>
      </c>
      <c r="H55" s="234">
        <v>3000000</v>
      </c>
    </row>
    <row r="56" spans="4:8" x14ac:dyDescent="0.25">
      <c r="D56" s="235">
        <v>46274</v>
      </c>
      <c r="E56" t="s">
        <v>181</v>
      </c>
      <c r="H56" s="234">
        <v>62750</v>
      </c>
    </row>
    <row r="57" spans="4:8" x14ac:dyDescent="0.25">
      <c r="D57" s="235">
        <v>46274</v>
      </c>
      <c r="E57" t="s">
        <v>199</v>
      </c>
      <c r="H57" s="234">
        <v>300000</v>
      </c>
    </row>
    <row r="58" spans="4:8" x14ac:dyDescent="0.25">
      <c r="D58" s="235">
        <v>46274</v>
      </c>
      <c r="E58" t="s">
        <v>199</v>
      </c>
      <c r="H58" s="234">
        <v>200000</v>
      </c>
    </row>
    <row r="59" spans="4:8" x14ac:dyDescent="0.25">
      <c r="D59" s="235">
        <v>46274</v>
      </c>
      <c r="E59" t="s">
        <v>178</v>
      </c>
      <c r="H59" s="234">
        <v>1000000</v>
      </c>
    </row>
    <row r="60" spans="4:8" x14ac:dyDescent="0.25">
      <c r="D60" s="235">
        <v>46274</v>
      </c>
      <c r="E60" t="s">
        <v>178</v>
      </c>
      <c r="H60" s="234">
        <v>610000</v>
      </c>
    </row>
    <row r="61" spans="4:8" x14ac:dyDescent="0.25">
      <c r="D61" s="235">
        <v>46274</v>
      </c>
      <c r="E61" t="s">
        <v>113</v>
      </c>
      <c r="H61" s="234">
        <v>5000000</v>
      </c>
    </row>
    <row r="62" spans="4:8" x14ac:dyDescent="0.25">
      <c r="D62" s="235">
        <v>46274</v>
      </c>
      <c r="E62" t="s">
        <v>113</v>
      </c>
      <c r="H62" s="234">
        <v>5000000</v>
      </c>
    </row>
    <row r="63" spans="4:8" x14ac:dyDescent="0.25">
      <c r="D63" s="235">
        <v>46274</v>
      </c>
      <c r="E63" t="s">
        <v>181</v>
      </c>
      <c r="H63" s="234">
        <v>1500000</v>
      </c>
    </row>
    <row r="64" spans="4:8" x14ac:dyDescent="0.25">
      <c r="D64" s="235">
        <v>46274</v>
      </c>
      <c r="E64" t="s">
        <v>181</v>
      </c>
      <c r="H64" s="234">
        <v>1371400</v>
      </c>
    </row>
    <row r="65" spans="4:8" x14ac:dyDescent="0.25">
      <c r="D65" s="235">
        <v>46274</v>
      </c>
      <c r="E65" t="s">
        <v>181</v>
      </c>
      <c r="H65" s="234">
        <v>506000</v>
      </c>
    </row>
    <row r="66" spans="4:8" x14ac:dyDescent="0.25">
      <c r="D66" s="235">
        <v>46274</v>
      </c>
      <c r="E66" t="s">
        <v>181</v>
      </c>
      <c r="H66" s="234">
        <v>900000</v>
      </c>
    </row>
    <row r="67" spans="4:8" x14ac:dyDescent="0.25">
      <c r="D67" s="235">
        <v>46275</v>
      </c>
      <c r="E67" t="s">
        <v>195</v>
      </c>
      <c r="H67" s="234">
        <v>250000</v>
      </c>
    </row>
    <row r="68" spans="4:8" x14ac:dyDescent="0.25">
      <c r="D68" s="235">
        <v>46275</v>
      </c>
      <c r="E68" t="s">
        <v>195</v>
      </c>
      <c r="H68" s="234">
        <v>1000000</v>
      </c>
    </row>
    <row r="69" spans="4:8" x14ac:dyDescent="0.25">
      <c r="D69" s="235">
        <v>46275</v>
      </c>
      <c r="E69" t="s">
        <v>181</v>
      </c>
      <c r="H69" s="234">
        <v>700000</v>
      </c>
    </row>
    <row r="70" spans="4:8" x14ac:dyDescent="0.25">
      <c r="D70" s="235">
        <v>46275</v>
      </c>
      <c r="E70" t="s">
        <v>195</v>
      </c>
      <c r="H70" s="234">
        <v>500000</v>
      </c>
    </row>
    <row r="71" spans="4:8" x14ac:dyDescent="0.25">
      <c r="D71" s="235">
        <v>46275</v>
      </c>
      <c r="E71" t="s">
        <v>195</v>
      </c>
      <c r="H71" s="234">
        <v>100000</v>
      </c>
    </row>
    <row r="72" spans="4:8" x14ac:dyDescent="0.25">
      <c r="D72" s="235">
        <v>46275</v>
      </c>
      <c r="E72" t="s">
        <v>181</v>
      </c>
      <c r="H72" s="234">
        <v>61700</v>
      </c>
    </row>
    <row r="73" spans="4:8" x14ac:dyDescent="0.25">
      <c r="D73" s="235">
        <v>46275</v>
      </c>
      <c r="E73" t="s">
        <v>195</v>
      </c>
      <c r="H73" s="234">
        <v>1000000</v>
      </c>
    </row>
    <row r="74" spans="4:8" x14ac:dyDescent="0.25">
      <c r="D74" s="235">
        <v>46275</v>
      </c>
      <c r="E74" t="s">
        <v>181</v>
      </c>
      <c r="H74" s="234">
        <v>2000000</v>
      </c>
    </row>
    <row r="75" spans="4:8" x14ac:dyDescent="0.25">
      <c r="D75" s="235">
        <v>46275</v>
      </c>
      <c r="E75" t="s">
        <v>181</v>
      </c>
      <c r="H75" s="234">
        <v>281250</v>
      </c>
    </row>
    <row r="76" spans="4:8" x14ac:dyDescent="0.25">
      <c r="D76" s="235">
        <v>46275</v>
      </c>
      <c r="E76" t="s">
        <v>199</v>
      </c>
      <c r="H76" s="234">
        <v>250000</v>
      </c>
    </row>
    <row r="77" spans="4:8" x14ac:dyDescent="0.25">
      <c r="D77" s="235">
        <v>46275</v>
      </c>
      <c r="E77" t="s">
        <v>113</v>
      </c>
      <c r="H77" s="234">
        <v>5000000</v>
      </c>
    </row>
    <row r="78" spans="4:8" x14ac:dyDescent="0.25">
      <c r="D78" s="235">
        <v>46275</v>
      </c>
      <c r="E78" t="s">
        <v>113</v>
      </c>
      <c r="H78" s="234">
        <v>5000000</v>
      </c>
    </row>
    <row r="79" spans="4:8" x14ac:dyDescent="0.25">
      <c r="D79" s="235">
        <v>46275</v>
      </c>
      <c r="E79" t="s">
        <v>195</v>
      </c>
      <c r="H79" s="234">
        <v>125125</v>
      </c>
    </row>
    <row r="80" spans="4:8" x14ac:dyDescent="0.25">
      <c r="D80" s="235">
        <v>46276</v>
      </c>
      <c r="E80" t="s">
        <v>194</v>
      </c>
      <c r="H80" s="234">
        <v>200000</v>
      </c>
    </row>
    <row r="81" spans="4:8" x14ac:dyDescent="0.25">
      <c r="D81" s="235">
        <v>46276</v>
      </c>
      <c r="E81" t="s">
        <v>197</v>
      </c>
      <c r="H81" s="234">
        <v>2000000</v>
      </c>
    </row>
    <row r="82" spans="4:8" x14ac:dyDescent="0.25">
      <c r="D82" s="235">
        <v>46276</v>
      </c>
      <c r="E82" t="s">
        <v>181</v>
      </c>
      <c r="H82" s="234">
        <v>1700000</v>
      </c>
    </row>
    <row r="83" spans="4:8" x14ac:dyDescent="0.25">
      <c r="D83" s="235">
        <v>46276</v>
      </c>
      <c r="E83" t="s">
        <v>181</v>
      </c>
      <c r="H83" s="234">
        <v>1721285</v>
      </c>
    </row>
    <row r="84" spans="4:8" x14ac:dyDescent="0.25">
      <c r="D84" s="235">
        <v>46276</v>
      </c>
      <c r="E84" t="s">
        <v>181</v>
      </c>
      <c r="H84" s="234">
        <v>2000000</v>
      </c>
    </row>
    <row r="85" spans="4:8" x14ac:dyDescent="0.25">
      <c r="D85" s="235">
        <v>46276</v>
      </c>
      <c r="E85" t="s">
        <v>181</v>
      </c>
      <c r="H85" s="234">
        <v>1000000</v>
      </c>
    </row>
    <row r="86" spans="4:8" x14ac:dyDescent="0.25">
      <c r="D86" s="235">
        <v>46276</v>
      </c>
      <c r="E86" t="s">
        <v>200</v>
      </c>
      <c r="H86" s="234">
        <v>1000000</v>
      </c>
    </row>
    <row r="87" spans="4:8" x14ac:dyDescent="0.25">
      <c r="D87" s="235">
        <v>46276</v>
      </c>
      <c r="E87" t="s">
        <v>181</v>
      </c>
      <c r="H87" s="234">
        <v>2312500</v>
      </c>
    </row>
    <row r="88" spans="4:8" x14ac:dyDescent="0.25">
      <c r="D88" s="235">
        <v>46277</v>
      </c>
      <c r="E88" t="s">
        <v>195</v>
      </c>
      <c r="H88" s="234">
        <v>100120</v>
      </c>
    </row>
    <row r="89" spans="4:8" x14ac:dyDescent="0.25">
      <c r="D89" s="235">
        <v>46277</v>
      </c>
      <c r="E89" t="s">
        <v>195</v>
      </c>
      <c r="H89" s="234">
        <v>100000</v>
      </c>
    </row>
    <row r="90" spans="4:8" x14ac:dyDescent="0.25">
      <c r="D90" s="235">
        <v>46277</v>
      </c>
      <c r="E90" t="s">
        <v>195</v>
      </c>
      <c r="H90" s="234">
        <v>250000</v>
      </c>
    </row>
    <row r="91" spans="4:4" x14ac:dyDescent="0.25">
      <c r="D91" s="235"/>
    </row>
    <row r="92" spans="4:4" x14ac:dyDescent="0.25">
      <c r="D92" s="2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Entry</vt:lpstr>
      <vt:lpstr>Dashboard</vt:lpstr>
      <vt:lpstr>Database</vt:lpstr>
      <vt:lpstr>Payments</vt:lpstr>
      <vt:lpstr>Sheet1</vt:lpstr>
      <vt:lpstr>Products</vt:lpstr>
      <vt:lpstr>Lists</vt:lpstr>
      <vt:lpstr>How To (VBA)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/>
  <dc:subject/>
  <dc:description/>
  <cp:keywords/>
  <cp:category/>
  <cp:lastModifiedBy>Farhan Khalid</cp:lastModifiedBy>
  <cp:contentStatus/>
  <dcterms:created xsi:type="dcterms:W3CDTF">2022-02-05T10:09:05Z</dcterms:created>
  <dcterms:modified xsi:type="dcterms:W3CDTF">2026-10-09T19:55:03Z</dcterms:modified>
</cp:coreProperties>
</file>